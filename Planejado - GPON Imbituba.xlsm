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fxbl\Downloads\BIS Novos\GIRO_RECURSUS\"/>
    </mc:Choice>
  </mc:AlternateContent>
  <xr:revisionPtr revIDLastSave="0" documentId="13_ncr:1_{0A0722F2-C9FA-424F-9093-E1AF91B95B1B}" xr6:coauthVersionLast="47" xr6:coauthVersionMax="47" xr10:uidLastSave="{00000000-0000-0000-0000-000000000000}"/>
  <bookViews>
    <workbookView xWindow="-120" yWindow="-120" windowWidth="29040" windowHeight="15720" xr2:uid="{D70DB88E-A6CF-43F7-90FC-6A48757192D1}"/>
  </bookViews>
  <sheets>
    <sheet name="1. Dados do Projeto" sheetId="4" r:id="rId1"/>
    <sheet name="2. Precificação" sheetId="1" r:id="rId2"/>
    <sheet name="3. Custo por Categoria" sheetId="2" r:id="rId3"/>
    <sheet name="4. Feriados" sheetId="3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4" l="1"/>
  <c r="D3" i="4"/>
  <c r="L21" i="2" l="1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J3" i="2"/>
  <c r="E5" i="2"/>
  <c r="E4" i="2"/>
  <c r="E3" i="2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E16" i="2" s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E15" i="2" l="1"/>
  <c r="E12" i="2"/>
  <c r="E7" i="2"/>
  <c r="E18" i="2"/>
  <c r="E17" i="2"/>
  <c r="E21" i="2"/>
  <c r="E20" i="2"/>
  <c r="E10" i="2"/>
  <c r="E19" i="2"/>
  <c r="E14" i="2"/>
  <c r="E6" i="2"/>
  <c r="E11" i="2"/>
  <c r="E8" i="2"/>
  <c r="E9" i="2"/>
  <c r="E13" i="2"/>
  <c r="G3" i="2"/>
  <c r="H3" i="2" s="1"/>
  <c r="G4" i="2"/>
  <c r="F7" i="2" l="1"/>
  <c r="G7" i="2" s="1"/>
  <c r="F6" i="2"/>
  <c r="G6" i="2" s="1"/>
  <c r="H6" i="2" s="1"/>
  <c r="F10" i="2"/>
  <c r="F19" i="2"/>
  <c r="G19" i="2" s="1"/>
  <c r="F12" i="2"/>
  <c r="F17" i="2"/>
  <c r="G17" i="2" s="1"/>
  <c r="F8" i="2"/>
  <c r="G8" i="2" s="1"/>
  <c r="F9" i="2"/>
  <c r="G9" i="2" s="1"/>
  <c r="F15" i="2"/>
  <c r="G15" i="2" s="1"/>
  <c r="F16" i="2"/>
  <c r="G16" i="2" s="1"/>
  <c r="F21" i="2"/>
  <c r="G21" i="2" s="1"/>
  <c r="F11" i="2"/>
  <c r="F14" i="2"/>
  <c r="G14" i="2" s="1"/>
  <c r="I3" i="2"/>
  <c r="K3" i="2" s="1"/>
  <c r="J4" i="2" s="1"/>
  <c r="F13" i="2"/>
  <c r="G13" i="2" s="1"/>
  <c r="F18" i="2"/>
  <c r="G18" i="2" s="1"/>
  <c r="F20" i="2"/>
  <c r="G20" i="2" s="1"/>
  <c r="H4" i="2"/>
  <c r="I4" i="2" s="1"/>
  <c r="G11" i="2"/>
  <c r="G10" i="2"/>
  <c r="G12" i="2"/>
  <c r="G5" i="2"/>
  <c r="K4" i="2" l="1"/>
  <c r="J5" i="2" s="1"/>
  <c r="H5" i="2"/>
  <c r="H15" i="2"/>
  <c r="I15" i="2" s="1"/>
  <c r="H21" i="2"/>
  <c r="I21" i="2" s="1"/>
  <c r="H20" i="2"/>
  <c r="I20" i="2" s="1"/>
  <c r="H14" i="2"/>
  <c r="I14" i="2" s="1"/>
  <c r="H13" i="2"/>
  <c r="I13" i="2" s="1"/>
  <c r="H8" i="2"/>
  <c r="I8" i="2" s="1"/>
  <c r="H17" i="2"/>
  <c r="I17" i="2" s="1"/>
  <c r="H12" i="2"/>
  <c r="I12" i="2" s="1"/>
  <c r="H19" i="2"/>
  <c r="I19" i="2" s="1"/>
  <c r="H10" i="2"/>
  <c r="I10" i="2" s="1"/>
  <c r="H9" i="2"/>
  <c r="I9" i="2" s="1"/>
  <c r="H11" i="2"/>
  <c r="I11" i="2" s="1"/>
  <c r="H18" i="2"/>
  <c r="I18" i="2" s="1"/>
  <c r="H7" i="2"/>
  <c r="H16" i="2"/>
  <c r="I16" i="2" s="1"/>
  <c r="I6" i="2"/>
  <c r="I5" i="2" l="1"/>
  <c r="K5" i="2" s="1"/>
  <c r="J6" i="2" s="1"/>
  <c r="K6" i="2" s="1"/>
  <c r="J7" i="2" s="1"/>
  <c r="I7" i="2"/>
  <c r="K7" i="2" l="1"/>
  <c r="J8" i="2" s="1"/>
  <c r="K8" i="2" s="1"/>
  <c r="J9" i="2" s="1"/>
  <c r="K9" i="2" l="1"/>
  <c r="J10" i="2" s="1"/>
  <c r="K10" i="2" l="1"/>
  <c r="J11" i="2" s="1"/>
  <c r="K11" i="2" l="1"/>
  <c r="J12" i="2" s="1"/>
  <c r="K12" i="2" l="1"/>
  <c r="J13" i="2" s="1"/>
  <c r="K13" i="2" l="1"/>
  <c r="J14" i="2" s="1"/>
  <c r="K14" i="2" l="1"/>
  <c r="J15" i="2" s="1"/>
  <c r="K15" i="2" l="1"/>
  <c r="J16" i="2" s="1"/>
  <c r="K16" i="2" l="1"/>
  <c r="J17" i="2" s="1"/>
  <c r="K17" i="2" l="1"/>
  <c r="J18" i="2" s="1"/>
  <c r="K18" i="2" l="1"/>
  <c r="J19" i="2" s="1"/>
  <c r="K19" i="2" l="1"/>
  <c r="J20" i="2" s="1"/>
  <c r="K20" i="2" s="1"/>
  <c r="J21" i="2" l="1"/>
  <c r="K21" i="2" l="1"/>
</calcChain>
</file>

<file path=xl/sharedStrings.xml><?xml version="1.0" encoding="utf-8"?>
<sst xmlns="http://schemas.openxmlformats.org/spreadsheetml/2006/main" count="2499" uniqueCount="297">
  <si>
    <t>Item</t>
  </si>
  <si>
    <t>Elétrica</t>
  </si>
  <si>
    <t>Sistemas CC</t>
  </si>
  <si>
    <t>Vistoria e Fornec. de Laudo de Sistemas de Energia Corrente Contínua de qualquer capacidade</t>
  </si>
  <si>
    <t>Vistoria e Fornec. de Laudo e Projeto de Instalação de 01 QDF até 400Acc em sistema de qualquer capacidade</t>
  </si>
  <si>
    <t>Vistoria e Fornec. de Laudo e Projeto de Instalação de 02 QDF até 400Acc em sistemas de qualquer capacidade</t>
  </si>
  <si>
    <t>Vistoria e Fornec. de Laudo e Projeto de Instalação de 01 QDF maior que 400Acc em sistema de qualquer capacidade</t>
  </si>
  <si>
    <t>Vistoria e Fornec. de Laudo e Projeto de Instalação de 02 QDF maiores que 400Acc em sistemas de qualquer capacidade</t>
  </si>
  <si>
    <t>Vistoria e Fornec. de Laudo e Projeto de Substituição ou Ampliação de Baterias em sistema até 600Acc</t>
  </si>
  <si>
    <t>Vistoria e Fornec. de Laudo e Projeto de Substituição ou Ampliação de Baterias em sistema acima de 600Acc</t>
  </si>
  <si>
    <t>Vistoria e Fornec. de Laudo e Projeto de Substituição ou Ampliação de Baterias em mais de 01 sistema acima de 600Acc</t>
  </si>
  <si>
    <t>Vistoria e Fornec. de Laudo e Projeto de Ampliação com 01 novo sistema até 600Acc incluindo QDFs e Baterias</t>
  </si>
  <si>
    <t>Vistoria e Fornec. de Laudo e Projeto de Ampliação com 01 novo sistema acima de 600Acc incluindo QDFs e Baterias</t>
  </si>
  <si>
    <t>Vistoria e Fornec. de Laudo e Projeto de Ampliação com 02 novos sistemas acima de 600Acc incluindo QDFs e Baterias</t>
  </si>
  <si>
    <t>Vistoria e Fornec. de Laudo e Projeto de Substituição de 01 Sistema até 600Acc incluindo QDFs e Baterias</t>
  </si>
  <si>
    <t>Vistoria e Fornec. de Laudo e Projeto de Substituição de 01 Sistema acima de 600Acc incluindo QDFs e Baterias</t>
  </si>
  <si>
    <t>Vistoria e Fornec. de Laudo e Projeto de Substituição de 02 Sistemas acima de 600Acc incluindo QDFs e Baterias</t>
  </si>
  <si>
    <t>Vistoria e Fornec. de Laudo e Projeto de Transferência de até 05 Consumidores em Sistemas até 600Acc</t>
  </si>
  <si>
    <t>Vistoria e Fornec. de Laudo e Projeto de Transferência de até 05 Consumidores em Sistemas acima de 600Acc</t>
  </si>
  <si>
    <t>Vistoria e Fornec. de Laudo e Projeto de Instalação de Inversores CC CA duplo ou simples de qualquer capacidade</t>
  </si>
  <si>
    <t>GMG</t>
  </si>
  <si>
    <t>Sistemas GMG</t>
  </si>
  <si>
    <t>Vistoria e Fornec. de Laudo de Sistemas de GMG em Corrente Alternada de qualquer capacidade</t>
  </si>
  <si>
    <t>Vistoria e Fornec. de Laudo e Projeto de Instalação de 01 GMG com capacidade até 440kVA</t>
  </si>
  <si>
    <t>Vistoria e Fornec. de Laudo e Projeto de Instalação de 01 GMG com capacidade acima de 440kVA</t>
  </si>
  <si>
    <t>Vistoria e Fornec. de Laudo e Projeto de Instalação de mais de 01 GMG com capacidade até 1500kVA</t>
  </si>
  <si>
    <t>Vistoria e Fornec. de Laudo e Projeto de Instalação de mais de 01 GMG com capacidade acima 1500kVA</t>
  </si>
  <si>
    <t>Sistemas NoBreaks</t>
  </si>
  <si>
    <t>Vistoria e Fornec. de Laudo de Sistemas Ininterruptos de Energia Corrente Alternada NoBreaks de qualquer capacidade</t>
  </si>
  <si>
    <t>Vistoria e Fornec. de Laudo e Projeto de Instalação de Sistemas de NobreaKs com capacidade até 15kVA</t>
  </si>
  <si>
    <t>Vistoria e Fornec. de Laudo e Projeto de Instalação de Sistemas de NobreaKs capacidade acima de 15kVA até 60kVA</t>
  </si>
  <si>
    <t>Vistoria e Fornec. de Laudo e Projeto de Instalação de Sistemas de NobreaKs capacidade acima de 60kVA até 100kVA</t>
  </si>
  <si>
    <t>Vistoria e Fornec. de Laudo e Projeto de Instalação de Sistemas de NobreaKs capacidade acima de 100kVA até 200kVA</t>
  </si>
  <si>
    <t>Sistemas CA</t>
  </si>
  <si>
    <t>Vistoria e Fornec. de Laudo de Sistemas de Proteção e Distribuição Energia Corrente Alternada de qualquer capacidade</t>
  </si>
  <si>
    <t>Vistoria e Fornec. de Laudo e Projeto de Conexão de Cargas CA com potência até 3KVA</t>
  </si>
  <si>
    <t xml:space="preserve">Vistoria e Fornec. de Laudo e Projeto de Conexão de Cargas CA com potência de 3,1kVA até 5,9kVA </t>
  </si>
  <si>
    <t>Vistoria e Fornec. de Laudo e Projeto de Conexão de Cargas CA com potência de 6kVA até 15,9kVA</t>
  </si>
  <si>
    <t>Vistoria e Fornec. de Laudo e Projeto de Conexão de Cargas CA com potência de 16kVA até 35kVA</t>
  </si>
  <si>
    <t xml:space="preserve">Vistoria e Fornec. de Laudo e Projeto de Conexão de Cargas CA com potência de 36kVA até 75kVA </t>
  </si>
  <si>
    <t>Vistoria e Fornec. de Laudo e Projeto de Conexão de Cargas CA com potência de 76kVA até 100kVA</t>
  </si>
  <si>
    <t>Vistoria e Fornec. de Laudo e Projeto de Conexão de Cargas CA com potência de 101kVA até 150kVA</t>
  </si>
  <si>
    <t xml:space="preserve">Vistoria e Fornec. de Laudo e Projeto de Conexão de Cargas CA com potência de 151kVA até 200kVA </t>
  </si>
  <si>
    <t xml:space="preserve">Vistoria e Fornec. de Laudo e Projeto de Conexão de Cargas CA com potência de 201kVA até 250kVA </t>
  </si>
  <si>
    <t>Vistoria e Fornec. de Laudo e Projeto de Conexão de Cargas CA com potência de 251kVA até 350kVA</t>
  </si>
  <si>
    <t xml:space="preserve">Vistoria e Fornec. de Laudo e Projeto de Conexão de Cargas CA com potência de 351kVA até 500kVA </t>
  </si>
  <si>
    <t xml:space="preserve">Vistoria e Fornec. de Laudo e Projeto de Conexão de Cargas CA com potência de 501kVA até 750kVA </t>
  </si>
  <si>
    <t>Vistoria e Fornec. de Laudo e Projeto de Conexão de Cargas CA com potência de 751kVA até 1000kVA</t>
  </si>
  <si>
    <t>Vistoria e Fornec. de Laudo e Projeto de Conexão de Cargas CA com potência de 1001kVA até 1500kVA</t>
  </si>
  <si>
    <t xml:space="preserve">Vistoria e Fornec. de Laudo e Projeto de Conexão de Cargas CA com potência de 1501kVA até 2000kVA </t>
  </si>
  <si>
    <t xml:space="preserve">Vistoria e Fornec. de Laudo e Projeto de Conexão de Cargas CA com potência de 2001kVA até 3000kVA </t>
  </si>
  <si>
    <t xml:space="preserve">Vistoria e Fornec. de Laudo e Projeto de Conexão de Cargas CA com potência de 3001kVA até 4000kVA </t>
  </si>
  <si>
    <t>Vistoria e Fornec. de Laudo e Projeto de Conexão de Cargas CA com potência de 4001kVA até 5000kVA</t>
  </si>
  <si>
    <t xml:space="preserve">Vistoria e Fornec. de Laudo e Projeto de Conexão de Cargas CA com potência de 5001kVA até 6000kVA </t>
  </si>
  <si>
    <t>PDA</t>
  </si>
  <si>
    <t>Sistemas PDA</t>
  </si>
  <si>
    <t>Vistoria e Fornec. de Laudo em Sistema de Proteção Contra Descargas Atmosféricas em prédios até 2000m²</t>
  </si>
  <si>
    <t>Vistoria e Projeto de Sistema de Proteção Contra Descargas Atmosféricas em prédios até 100m²</t>
  </si>
  <si>
    <t>Vistoria e Projeto de Sistema de Proteção Contra Descargas Atmosféricas em prédios de 101m² a 300m²</t>
  </si>
  <si>
    <t>Vistoria e Projeto de Sistema de Proteção Contra Descargas Atmosféricas em prédios de 301m² a 600m²</t>
  </si>
  <si>
    <t>Vistoria e Projeto de Sistema de Proteção Contra Descargas Atmosféricas em prédios de 601m² a 1200m²</t>
  </si>
  <si>
    <t>Vistoria e Projeto de Sistema de Proteção Contra Descargas Atmosféricas em prédios de 1201m² a 2000m²</t>
  </si>
  <si>
    <t>Vistoria e Projeto de Sistema de Proteção Contra Descargas Atmosféricas em prédios acima de 2000m²</t>
  </si>
  <si>
    <t>Diagramas Unifilares</t>
  </si>
  <si>
    <t>Vistoria e Fornec. de Diagrama Unifilar CA Completo em Sistemas com capacidade até 75kW</t>
  </si>
  <si>
    <t>Vistoria e Fornec. de Diagrama Unifilar CA Completo em Sistemas com capacidade de 76kW até 150kW</t>
  </si>
  <si>
    <t>Vistoria e Fornec. de Diagrama Unifilar CA Completo em Sistemas com capacidade de 151kW até 300kW</t>
  </si>
  <si>
    <t>Vistoria e Fornec. de Diagrama Unifilar CA Completo em Sistemas com capacidade de 301kW até 500kW</t>
  </si>
  <si>
    <t>Vistoria e Fornec. de Diagrama Unifilar CA Completo em Sistemas com capacidade de 501kW até 1000kW</t>
  </si>
  <si>
    <t>Vistoria e Fornec. de Diagrama Unifilar CA Completo em Sistemas com capacidade de 1001kW até 2000kW</t>
  </si>
  <si>
    <t>Vistoria e Fornec. de Diagrama Unifilar CA Completo em Sistemas com capacidade de 2001kW até 3000kW</t>
  </si>
  <si>
    <t>Vistoria e Fornec. de Diagrama Unifilar CA Completo em Sistemas com capacidade de 3001kW até 4000kW</t>
  </si>
  <si>
    <t>Vistoria e Fornec. de Diagrama Unifilar CA Completo em Sistemas com capacidade de 4001kW até 5000kW</t>
  </si>
  <si>
    <t>Vistoria e Fornec. de Diagrama Unifilar CA Completo em Sistemas com capacidade de 5001kW até 6000kW</t>
  </si>
  <si>
    <t>Climatização</t>
  </si>
  <si>
    <t>Sistemas Climatização</t>
  </si>
  <si>
    <t>Vistoria e Fornec. de Laudo em Sistema de Climatização de qualquer capacidade</t>
  </si>
  <si>
    <t>Vistoria e Fornec. de Laudo e Projeto de Sistema de Distribuição de Ar através de Dutos até 10m lineares</t>
  </si>
  <si>
    <t>Vistoria e Fornec. de Laudo e Projeto de Sistema de Distribuição de Ar através de Dutos de 11m até 100m lineares</t>
  </si>
  <si>
    <t>Vistoria e Fornec. de Laudo e Projeto de Sistema de Distribuição de Ar através de Dutos de 101m até 200m lineares</t>
  </si>
  <si>
    <t>Vistoria e Fornec. de Laudo e Projeto de Sistema de Distribuição de Ar através de Dutos acima de 200m lineares</t>
  </si>
  <si>
    <t>Vistoria e Fornec. de Laudo e Projeto de Substituição de Sistema Ventilação ou Exaustão de qualquer vazão</t>
  </si>
  <si>
    <t>Vistoria e Fornec. de Laudo e Projeto de Substituição de Sistema de Ar Doméstico Split Systen até 60.000BTU/h</t>
  </si>
  <si>
    <t>Vistoria e Fornec. de Laudo e Projeto de Substituição ou Ampliação de Sistema de Ar Condicionado até 15TR</t>
  </si>
  <si>
    <t>Vistoria e Fornec. de Laudo e Projeto de Substituição ou Ampliação de Sistema de Ar Condicionado de 16TR até 40TR</t>
  </si>
  <si>
    <t>Vistoria e Fornec. de Laudo e Projeto de Substituição ou Ampliação de Sistema de Ar Condicionado de 41TR até 120TR</t>
  </si>
  <si>
    <t>Vistoria e Fornec. de Laudo e Projeto de Substituição ou Ampliação de Sistema de Ar Condicionado de 121TR até 200TR</t>
  </si>
  <si>
    <t>Vistoria e Fornec. de Laudo e Projeto de Substituição ou Ampliação de Sistema de Ar Condicionado de 201TR até 300TR</t>
  </si>
  <si>
    <t>Vistoria e Fornec. de Laudo e Projeto de Substituição ou Ampliação de Sistema de Ar Condicionado de 301TR até 450TR</t>
  </si>
  <si>
    <t>Vistoria e Fornec. de Laudo e Projeto de Substituição ou Ampliação de Sistema de Ar Condicionado acima de 450TR</t>
  </si>
  <si>
    <t>Sistemas Entalpia</t>
  </si>
  <si>
    <t>Vistoria e Projeto de Sistema de Entalpia Free Cooling em área de até 100m²</t>
  </si>
  <si>
    <t>Vistoria e Projeto de Sistema de Entalpia Free Cooling em área de 101m² até 200m²</t>
  </si>
  <si>
    <t>Vistoria e Projeto de Sistema de Entalpia Free Cooling em área de 201m² até 500m²</t>
  </si>
  <si>
    <t>Vistoria e Projeto de Sistema de Entalpia Free Cooling em área de 501m² até 1000m²</t>
  </si>
  <si>
    <t>Vistoria e Projeto de Sistema de Entalpia Free Cooling em área de 1001m² até 3000m²</t>
  </si>
  <si>
    <t>Vistoria e Projeto de Sistema de Entalpia Free Cooling em área de 3001m² até 10000m²</t>
  </si>
  <si>
    <t>Vistoria e Projeto de Sistema de Entalpia Free Cooling em área acima de 10000m²</t>
  </si>
  <si>
    <t>Alarmes</t>
  </si>
  <si>
    <t>Sistemas Automação</t>
  </si>
  <si>
    <t>Vistoria e Fornec. de Laudos de Automação para 01 pavimento</t>
  </si>
  <si>
    <t>Vistoria e Projeto de Automação até 20 pontos físicos de monitoramento ou automação</t>
  </si>
  <si>
    <t>Vistoria e Projeto de Automação de 21 até 100 pontos físicos de monitoramento ou automação</t>
  </si>
  <si>
    <t>Vistoria e Projeto de Automação de 101 até 500 pontos físicos de monitoramento ou automação</t>
  </si>
  <si>
    <t>Vistoria e Projeto de Automação de 501 até 1000 pontos físicos de monitoramento ou automação</t>
  </si>
  <si>
    <t>Civil e Hidráulica</t>
  </si>
  <si>
    <t>Esteiramentos Telecom</t>
  </si>
  <si>
    <t>Vistoria e Projeto de Esteiramentos Estruturados para Cabos Telecom em salas até 20m²</t>
  </si>
  <si>
    <t>Vistoria e Projeto de Esteiramentos Estruturados para Cabos Telecom em salas de 21m² até 40m²</t>
  </si>
  <si>
    <t>Vistoria e Projeto de Esteiramentos Estruturados para Cabos Telecom em salas de 41m² até 60m²</t>
  </si>
  <si>
    <t>Vistoria e Projeto de Esteiramentos Estruturados para Cabos Telecom em salas de 61m² até 80m²</t>
  </si>
  <si>
    <t>Vistoria e Projeto de Esteiramentos Estruturados para Cabos Telecom em salas de 81m² até 100m²</t>
  </si>
  <si>
    <t>Vistoria e Projeto de Esteiramentos Estruturados para Cabos Telecom em salas acima de 100m²</t>
  </si>
  <si>
    <t>Vistorias</t>
  </si>
  <si>
    <t>Vistoria e Fornec. de Relatório Fotográfico para todos os segmentos de infraestrutura</t>
  </si>
  <si>
    <t>Vistoria e Fornec. de Croquis para todos os segmentos de infraestrutura</t>
  </si>
  <si>
    <t>Sondagem</t>
  </si>
  <si>
    <t>Sondagens</t>
  </si>
  <si>
    <t>Fornecimento de Laudo de Prospeção de Solo com máquinário de sondagem independente do método utilizado</t>
  </si>
  <si>
    <t>Taxa de de instalação de equipamentos de sondagens</t>
  </si>
  <si>
    <t>Deslocamento de ida para transporte de equipamento de sondagem</t>
  </si>
  <si>
    <t>Topografia</t>
  </si>
  <si>
    <t>Laudo Planialtimétrico</t>
  </si>
  <si>
    <t>Fornecimento de Laudo de Levantamento Topográfico Planialtimétrico em terrenos com área até 1000m²</t>
  </si>
  <si>
    <t>Fornecimento de Laudo de Levantamento Topográfico Planialtimétrico em terrenos com área de 1001m² até 3000m²</t>
  </si>
  <si>
    <t>Fornecimento de Laudo de Levantamento Topográfico Planialtimétrico em terrenos com área de 3001m² até 6000m²</t>
  </si>
  <si>
    <t>Fornecimento de Laudo de Levantamento Topográfico Planialtimétrico em terrenos com área acima de 6000m²</t>
  </si>
  <si>
    <t>Estrutura</t>
  </si>
  <si>
    <t>Laudos Sobrecargas</t>
  </si>
  <si>
    <t>Vistoria e Fornec. de Laudo de Estudo de Sobrecargas em Lajes e Pavimentos em salas com áreas até 20m²</t>
  </si>
  <si>
    <t>Vistoria e Fornec. de Laudo de Estudo de Sobrecargas em Lajes e Pavimentos em salas com áreas de 21m² até 40m²</t>
  </si>
  <si>
    <t>Vistoria e Fornec. de Laudo de Estudo de Sobrecargas em Lajes e Pavimentos em salas com áreas de 41m² até 60m²</t>
  </si>
  <si>
    <t>Vistoria e Fornec. de Laudo de Estudo de Sobrecargas em Lajes e Pavimentos em salas com áreas de 61m² até 80m²</t>
  </si>
  <si>
    <t>Vistoria e Fornec. de Laudo de Estudo de Sobrecargas em Lajes e Pavimentos em salas com áreas de 81m² até 100m²</t>
  </si>
  <si>
    <t>Vistoria e Fornec. de Laudo de Estudo de Sobrecargas em Lajes e Pavimentos em salas com áreas acima de 100m²</t>
  </si>
  <si>
    <t>Projetos Torres</t>
  </si>
  <si>
    <t>Vistoria e Projeto de Fundações e Torres ou Postes para antenas em altura de até 20m</t>
  </si>
  <si>
    <t>Vistoria e Projeto de Fundações e Torres ou Postes para antenas em altura de 21m até 65m</t>
  </si>
  <si>
    <t>Vistoria e Projeto de Fundações e Torres ou Postes para antenas em altura de 66m até 90m</t>
  </si>
  <si>
    <t>Vistoria e Projeto de Fundações e Torres ou Postes para antenas em altura acima de 90m</t>
  </si>
  <si>
    <t>Laudos Torres</t>
  </si>
  <si>
    <t>Vistoria e Fornec. de Laudo de Análise Estrutural e Cargas em Torres e Fundações até 20m de altura</t>
  </si>
  <si>
    <t>Vistoria e Fornec. de Laudo de Análise Estrutural e Cargas em Torres e Fundações de 21m até 40m de altura</t>
  </si>
  <si>
    <t>Vistoria e Fornec. de Laudo de Análise Estrutural e Cargas em Torres e Fundações de 41m até 60m de altura</t>
  </si>
  <si>
    <t>Vistoria e Fornec. de Laudo de Análise Estrutural e Cargas em Torres e Fundações de 61m até 80m de altura</t>
  </si>
  <si>
    <t>Vistoria e Fornec. de Laudo de Análise Estrutural e Cargas em Torres e Fundações acima de 80m de altura</t>
  </si>
  <si>
    <t>Relatórios Torres</t>
  </si>
  <si>
    <t>Vistoria e Fornec. de Relatório Fotográfico de Carregamento em Estruturas Verticais até 20m de altura</t>
  </si>
  <si>
    <t>Vistoria e Fornec. de Relatório Fotográfico de Carregamento em Estruturas Verticais de 21m até 40m de altura</t>
  </si>
  <si>
    <t>Vistoria e Fornec. de Relatório Fotográfico de Carregamento em Estruturas Verticais de 41m até 60m de altura</t>
  </si>
  <si>
    <t>Vistoria e Fornec. de Relatório Fotográfico de Carregamento em Estruturas Verticais de 61m até 80m de altura</t>
  </si>
  <si>
    <t>Vistoria e Fornec. de Relatório Fotográfico de Carregamento em Estruturas Verticais acima de 80m de altura</t>
  </si>
  <si>
    <t>Sistemas Diesel</t>
  </si>
  <si>
    <t>Civil</t>
  </si>
  <si>
    <t>Vistoria e Projeto de Sistema de Armazenamento e Abastecimento de Combustíveis em área até 10m²</t>
  </si>
  <si>
    <t>Vistoria e Projeto de Sistema de Armazenamento e Abastecimento de Combustíveis em área 11m² até 20m²</t>
  </si>
  <si>
    <t>Vistoria e Projeto de Sistema de Armazenamento e Abastecimento de Combustíveis em área 21m² até 50m²</t>
  </si>
  <si>
    <t>Vistoria e Projeto de Sistema de Armazenamento e Abastecimento de Combustíveis em área 51m² até 150m²</t>
  </si>
  <si>
    <t>Vistoria e Projeto de Sistema de Armazenamento e Abastecimento de Combustíveis em área 151m² até 400m²</t>
  </si>
  <si>
    <t>Vistoria e Projeto de Sistema de Armazenamento e Abastecimento de Combustíveis em área 401m² até 600m²</t>
  </si>
  <si>
    <t>Sist. Incêndio</t>
  </si>
  <si>
    <t>Sistemas DAI</t>
  </si>
  <si>
    <t>Vistoria e Projeto de Sistema de Detecção e Alarme de Incêndio até 5 pontos de monitoramento</t>
  </si>
  <si>
    <t>Vistoria e Projeto de Sistema de Detecção e Alarme de Incêndio de 6 até 20 pontos de monitoramento</t>
  </si>
  <si>
    <t>Vistoria e Projeto de Sistema de Detecção e Alarme de Incêndio de 21 até 50 pontos de monitoramento</t>
  </si>
  <si>
    <t>Acústica</t>
  </si>
  <si>
    <t>Tratamentos Acústicos</t>
  </si>
  <si>
    <t>Vistoria e Projeto de Tratamento Acústico Completo em Sistemas Grupo Motores Geradores até 440kVA</t>
  </si>
  <si>
    <t>Vistoria e Projeto de Tratamento Acústico Completo em sistemas Grupo Motores Geradores acima 440kVA</t>
  </si>
  <si>
    <t>Vistoria e Projeto de Tratamento Acústico Completo em Sistemas de Ar até 10TR</t>
  </si>
  <si>
    <t>Vistoria e Projeto de Tratamento Acústico Completo em Sistemas de Ar de 11TR até 30TR</t>
  </si>
  <si>
    <t>Vistoria e Projeto de Tratamento Acústico Completo em Sistemas de Ar de 31TR até 100TR</t>
  </si>
  <si>
    <t>Vistoria e Projeto de Tratamento Acústico Completo em Sistemas de Ar de 101TR até 300TR</t>
  </si>
  <si>
    <t>Vistoria e Projeto de Tratamento Acústico Completo em Sistemas de Ar acima de 301TR</t>
  </si>
  <si>
    <t>Vistoria e Projeto de Adequações Civis e Hidráulicas em área construída até 20m²</t>
  </si>
  <si>
    <t>Vistoria e Projeto de Adequações Civis e Hidráulicas em área construída de 21m² até 120m²</t>
  </si>
  <si>
    <t>Vistoria e Projeto de Adequações Civis e Hidráulicas em área construída de 121m² até 300m²</t>
  </si>
  <si>
    <t>Vistoria e Projeto de Adequações Civis e Hidráulicas em área construída de 301m² até 500m²</t>
  </si>
  <si>
    <t>Vistoria e Projeto de Adequações Civis e Hidráulicas em área construída acima de 500m²</t>
  </si>
  <si>
    <t>Permits</t>
  </si>
  <si>
    <t>Aprovação em Órgãos</t>
  </si>
  <si>
    <t>Protocolo e Projetos Legais Aprovados em Órgãos Públicos ou Concessionárias Diversas para prédios até 100m²</t>
  </si>
  <si>
    <t>Protocolo e Projetos Legais Aprovados em Órgãos Públicos ou Concessionárias Diversas para prédios acima de 100m²</t>
  </si>
  <si>
    <t>Projetos Prefeituras</t>
  </si>
  <si>
    <t>Fornecimento de Projetos Padronizados para Aprovação da Prefeitura ou Corpo de Bombeiros área construída até 20m²</t>
  </si>
  <si>
    <t>Fornecimento de Projetos Padronizados para Aprovação da Prefeitura ou Corpo de Bombeiros área construída 21m² até 120m²</t>
  </si>
  <si>
    <t>Fornecimento de Projetos Padronizados para Aprovação da Prefeitura ou Corpo de Bombeiros área construída 121m² até 300m²</t>
  </si>
  <si>
    <t>Fornecimento de Projetos Padronizados para Aprovação da Prefeitura ou Corpo de Bombeiros área construída 301m² até 500m²</t>
  </si>
  <si>
    <t>Fornecimento de Projetos Padronizados para Aprovação da Prefeitura ou Corpo de Bombeiros área construída 501m² até 3000m²</t>
  </si>
  <si>
    <t>Fornecimento de Projetos Padronizados para Aprovação da Prefeitura ou Corpo de Bombeiros área construída 3001m² até 10000m²</t>
  </si>
  <si>
    <t>AsBuilts</t>
  </si>
  <si>
    <t>Vistoria e Fornec. de As Built das instalações dos sistemas de energia CC no pavimento</t>
  </si>
  <si>
    <t>Vistoria e Fornec. de As Built das instalações dos sistemas de geradores no pavimento</t>
  </si>
  <si>
    <t>Vistoria e Fornec. de As Built das instalações dos sistemas de ininterruptos de energia CA NoBreaks no pavimento</t>
  </si>
  <si>
    <t>Vistoria e Fornec. de As Built de Arquitetura Hidráulica Elétrica DAI SPDA de área construída até 20m²</t>
  </si>
  <si>
    <t>Vistoria e Fornec. de As Built de Arquitetura Hidráulica Elétrica DAI SPDA de área construída de 21m² até 120m²</t>
  </si>
  <si>
    <t>Vistoria e Fornec. de As Built de Arquitetura Hidráulica Elétrica DAI SPDA de área construída de 121m² até 300m²</t>
  </si>
  <si>
    <t>Vistoria e Fornec. de As Built de Arquitetura Hidráulica Elétrica DAI SPDA de área construída de 301m² até 500m²</t>
  </si>
  <si>
    <t>Vistoria e Fornec. de As Built de Arquitetura Hidráulica Elétrica DAI SPDA de área construída de 501m² até 3000m²</t>
  </si>
  <si>
    <t>Vistoria e Fornec. de As Built de Arquitetura Hidráulica Elétrica DAI SPDA de área construída de 3001m² até 10000m²</t>
  </si>
  <si>
    <t>Mecânica</t>
  </si>
  <si>
    <t>Vistoria e Fornec. de As Built das instalações dos sistemas de ventilação e exaustão qualquer vazão por pavimento</t>
  </si>
  <si>
    <t>Vistoria e Fornec. de As Built das instalações dos sistemas de climatização até 10TR</t>
  </si>
  <si>
    <t>Vistoria e Fornec. de As Built das instalações dos sistemas de climatização de 10TR até 30TR</t>
  </si>
  <si>
    <t>Vistoria e Fornec. de As Built das instalações dos sistemas de climatização de 31TR até 100TR</t>
  </si>
  <si>
    <t>Vistoria e Fornec. de As Built das instalações dos sistemas de climatização acima de 100TR</t>
  </si>
  <si>
    <t>Plotagens</t>
  </si>
  <si>
    <t>Plotagem</t>
  </si>
  <si>
    <t>Plotagem Desenho tamanho A0 em cores</t>
  </si>
  <si>
    <t>Plotagem Desenho tamanho A1 em cores</t>
  </si>
  <si>
    <t>Plotagem Desenho tamanho A2 em cores</t>
  </si>
  <si>
    <t>Plotagem Desenho tamanho A3 em cores</t>
  </si>
  <si>
    <t>Plotagem Desenho tamanho A4 em cores</t>
  </si>
  <si>
    <t>Deslocamento</t>
  </si>
  <si>
    <t>Deslocamento distanc 200 ate 1000km</t>
  </si>
  <si>
    <t>Deslocamento distanc 1001 ate 2000km</t>
  </si>
  <si>
    <t>Deslocamento distanc 2001 ate 3000km</t>
  </si>
  <si>
    <t>Deslocamento distanc 3001 ate 5000km</t>
  </si>
  <si>
    <t>Deslocamento distanc 5001 ate 7000km</t>
  </si>
  <si>
    <t>Quantidade</t>
  </si>
  <si>
    <t>Categoria</t>
  </si>
  <si>
    <t>Tipo</t>
  </si>
  <si>
    <t>Descrição</t>
  </si>
  <si>
    <t>Valor Unidade</t>
  </si>
  <si>
    <t>Imposto</t>
  </si>
  <si>
    <t>Margem de Lucro</t>
  </si>
  <si>
    <t>Projeto</t>
  </si>
  <si>
    <t>No PO</t>
  </si>
  <si>
    <t>$ PO</t>
  </si>
  <si>
    <t>PLAN001</t>
  </si>
  <si>
    <t>Custos de Planejamento</t>
  </si>
  <si>
    <t>OTHE001</t>
  </si>
  <si>
    <t>Custos Indiretos</t>
  </si>
  <si>
    <t>VIST003</t>
  </si>
  <si>
    <t>Vistoria</t>
  </si>
  <si>
    <t>CIVI001</t>
  </si>
  <si>
    <t>ELET001</t>
  </si>
  <si>
    <t>PLOT001</t>
  </si>
  <si>
    <t>ACUS001</t>
  </si>
  <si>
    <t>AUTO001</t>
  </si>
  <si>
    <t>TOPO001</t>
  </si>
  <si>
    <t>PERM001</t>
  </si>
  <si>
    <t>SOND001</t>
  </si>
  <si>
    <t>DIES001</t>
  </si>
  <si>
    <t>LSOC003</t>
  </si>
  <si>
    <t>%</t>
  </si>
  <si>
    <t>x</t>
  </si>
  <si>
    <t>Custo</t>
  </si>
  <si>
    <t>Custo Líquido</t>
  </si>
  <si>
    <t>Margem</t>
  </si>
  <si>
    <t>Custo Final</t>
  </si>
  <si>
    <t>Solução</t>
  </si>
  <si>
    <t>Códigos</t>
  </si>
  <si>
    <t>Categorias</t>
  </si>
  <si>
    <t>Homem-hora</t>
  </si>
  <si>
    <t>Horas Planejadas</t>
  </si>
  <si>
    <t>Cliente</t>
  </si>
  <si>
    <t>RECURSUS</t>
  </si>
  <si>
    <t>Claro</t>
  </si>
  <si>
    <t>Telefônica</t>
  </si>
  <si>
    <t>Motorola</t>
  </si>
  <si>
    <t>Engemon</t>
  </si>
  <si>
    <t>Banco Central</t>
  </si>
  <si>
    <t>IHS Tower</t>
  </si>
  <si>
    <t>Phoenix Fibra</t>
  </si>
  <si>
    <t>Sandin Engenharia</t>
  </si>
  <si>
    <t>FIBRASIL</t>
  </si>
  <si>
    <t>Site Type</t>
  </si>
  <si>
    <t>GPON - IMBITUCA/SC (Central M)</t>
  </si>
  <si>
    <t>Início</t>
  </si>
  <si>
    <t>SLA</t>
  </si>
  <si>
    <t>Planejado</t>
  </si>
  <si>
    <t>Data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</si>
  <si>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</si>
  <si>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</si>
  <si>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</si>
  <si>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</si>
  <si>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</si>
  <si>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</si>
  <si>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</si>
  <si>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</si>
  <si>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</si>
  <si>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</si>
  <si>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</si>
  <si>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</si>
  <si>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</si>
  <si>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</si>
  <si>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</si>
  <si>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</si>
  <si>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</si>
  <si>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</si>
  <si>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</si>
  <si>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</si>
  <si>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Fonte: ANBIMA</t>
  </si>
  <si>
    <t>Início Planejado</t>
  </si>
  <si>
    <t>Fim Planejado</t>
  </si>
  <si>
    <t>Dias Planejados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</si>
</sst>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0.0%"/>
    <numFmt numFmtId="165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color theme="0"/>
      <name val="Montserrat"/>
    </font>
    <font>
      <sz val="10"/>
      <color theme="1"/>
      <name val="Montserrat"/>
    </font>
    <font>
      <sz val="10"/>
      <color theme="0"/>
      <name val="Montserrat"/>
    </font>
    <font>
      <sz val="10"/>
      <name val="Arial"/>
      <family val="2"/>
    </font>
    <font>
      <sz val="9"/>
      <color indexed="8"/>
      <name val="Arial"/>
      <family val="2"/>
    </font>
    <font>
      <vertAlign val="superscript"/>
      <sz val="9"/>
      <color indexed="8"/>
      <name val="Arial"/>
      <family val="2"/>
    </font>
    <font>
      <b/>
      <sz val="10"/>
      <name val="Montserrat"/>
    </font>
    <font>
      <b/>
      <sz val="10"/>
      <color theme="0"/>
      <name val="Montserrat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6" fillId="0" borderId="0"/>
  </cellStyleXfs>
  <cellXfs count="63">
    <xf numFmtId="0" fontId="0" fillId="0" borderId="0" xfId="0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3" applyFont="1" applyBorder="1" applyAlignment="1">
      <alignment horizontal="center" vertical="center"/>
    </xf>
    <xf numFmtId="44" fontId="4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/>
    </xf>
    <xf numFmtId="9" fontId="4" fillId="0" borderId="0" xfId="2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44" fontId="4" fillId="0" borderId="3" xfId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4" fontId="4" fillId="0" borderId="5" xfId="1" applyFont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9" fontId="4" fillId="5" borderId="0" xfId="2" applyFont="1" applyFill="1" applyBorder="1" applyAlignment="1">
      <alignment horizontal="center" vertical="center"/>
    </xf>
    <xf numFmtId="44" fontId="4" fillId="5" borderId="5" xfId="1" applyFont="1" applyFill="1" applyBorder="1" applyAlignment="1">
      <alignment horizontal="center" vertical="center"/>
    </xf>
    <xf numFmtId="10" fontId="4" fillId="5" borderId="1" xfId="2" applyNumberFormat="1" applyFont="1" applyFill="1" applyBorder="1" applyAlignment="1">
      <alignment horizontal="center" vertical="center"/>
    </xf>
    <xf numFmtId="164" fontId="4" fillId="5" borderId="4" xfId="2" applyNumberFormat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4" fillId="5" borderId="1" xfId="0" quotePrefix="1" applyFont="1" applyFill="1" applyBorder="1" applyAlignment="1">
      <alignment horizontal="center" vertical="center"/>
    </xf>
    <xf numFmtId="14" fontId="4" fillId="5" borderId="1" xfId="0" quotePrefix="1" applyNumberFormat="1" applyFont="1" applyFill="1" applyBorder="1" applyAlignment="1">
      <alignment horizontal="center" vertical="center"/>
    </xf>
    <xf numFmtId="44" fontId="4" fillId="6" borderId="1" xfId="1" applyFont="1" applyFill="1" applyBorder="1" applyAlignment="1">
      <alignment horizontal="center" vertical="center"/>
    </xf>
    <xf numFmtId="0" fontId="6" fillId="0" borderId="0" xfId="4"/>
    <xf numFmtId="0" fontId="7" fillId="0" borderId="0" xfId="4" applyFont="1" applyAlignment="1">
      <alignment horizontal="left"/>
    </xf>
    <xf numFmtId="14" fontId="4" fillId="0" borderId="2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14" fontId="4" fillId="6" borderId="5" xfId="0" applyNumberFormat="1" applyFont="1" applyFill="1" applyBorder="1" applyAlignment="1">
      <alignment horizontal="center" vertical="center"/>
    </xf>
    <xf numFmtId="2" fontId="4" fillId="0" borderId="0" xfId="1" applyNumberFormat="1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44" fontId="4" fillId="6" borderId="0" xfId="1" applyFont="1" applyFill="1" applyBorder="1" applyAlignment="1">
      <alignment horizontal="center" vertical="center"/>
    </xf>
    <xf numFmtId="0" fontId="4" fillId="6" borderId="0" xfId="0" quotePrefix="1" applyFont="1" applyFill="1" applyBorder="1" applyAlignment="1">
      <alignment horizontal="center" vertical="center"/>
    </xf>
    <xf numFmtId="14" fontId="4" fillId="6" borderId="0" xfId="0" quotePrefix="1" applyNumberFormat="1" applyFont="1" applyFill="1" applyBorder="1" applyAlignment="1">
      <alignment horizontal="center" vertical="center"/>
    </xf>
    <xf numFmtId="14" fontId="4" fillId="6" borderId="0" xfId="0" applyNumberFormat="1" applyFont="1" applyFill="1" applyBorder="1" applyAlignment="1">
      <alignment horizontal="center" vertical="center"/>
    </xf>
    <xf numFmtId="164" fontId="4" fillId="6" borderId="0" xfId="2" applyNumberFormat="1" applyFont="1" applyFill="1" applyBorder="1" applyAlignment="1">
      <alignment horizontal="center" vertical="center"/>
    </xf>
    <xf numFmtId="10" fontId="4" fillId="6" borderId="0" xfId="2" applyNumberFormat="1" applyFont="1" applyFill="1" applyBorder="1" applyAlignment="1">
      <alignment horizontal="center" vertical="center"/>
    </xf>
    <xf numFmtId="0" fontId="4" fillId="6" borderId="0" xfId="0" applyFont="1" applyFill="1" applyBorder="1" applyAlignment="1">
      <alignment vertical="center"/>
    </xf>
    <xf numFmtId="44" fontId="4" fillId="5" borderId="0" xfId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" fontId="4" fillId="0" borderId="0" xfId="1" applyNumberFormat="1" applyFont="1" applyBorder="1" applyAlignment="1">
      <alignment horizontal="center" vertical="center"/>
    </xf>
    <xf numFmtId="4" fontId="4" fillId="0" borderId="0" xfId="3" applyNumberFormat="1" applyFont="1" applyBorder="1" applyAlignment="1">
      <alignment horizontal="center" vertical="center"/>
    </xf>
    <xf numFmtId="49" fontId="3" fillId="4" borderId="1" xfId="3" applyNumberFormat="1" applyFont="1" applyFill="1" applyBorder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0" fontId="9" fillId="0" borderId="0" xfId="3" applyFont="1" applyBorder="1" applyAlignment="1">
      <alignment horizontal="center" vertical="center"/>
    </xf>
    <xf numFmtId="0" fontId="3" fillId="4" borderId="6" xfId="3" applyFont="1" applyFill="1" applyBorder="1" applyAlignment="1">
      <alignment horizontal="center"/>
    </xf>
    <xf numFmtId="0" fontId="3" fillId="4" borderId="7" xfId="3" applyFont="1" applyFill="1" applyBorder="1" applyAlignment="1">
      <alignment horizontal="center" vertical="center"/>
    </xf>
    <xf numFmtId="0" fontId="3" fillId="4" borderId="8" xfId="3" applyFont="1" applyFill="1" applyBorder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44" fontId="4" fillId="0" borderId="0" xfId="1" applyFont="1" applyBorder="1" applyAlignment="1">
      <alignment vertical="center"/>
    </xf>
    <xf numFmtId="0" fontId="10" fillId="0" borderId="0" xfId="3" applyFont="1" applyBorder="1" applyAlignment="1">
      <alignment horizontal="center" vertical="center"/>
    </xf>
    <xf numFmtId="9" fontId="4" fillId="0" borderId="0" xfId="0" applyNumberFormat="1" applyFont="1" applyBorder="1" applyAlignment="1">
      <alignment horizontal="center" vertical="center"/>
    </xf>
    <xf numFmtId="9" fontId="4" fillId="0" borderId="0" xfId="1" applyNumberFormat="1" applyFont="1" applyBorder="1" applyAlignment="1">
      <alignment horizontal="center" vertical="center"/>
    </xf>
  </cellXfs>
  <cellStyles count="5">
    <cellStyle name="Moeda" xfId="1" builtinId="4"/>
    <cellStyle name="Normal" xfId="0" builtinId="0"/>
    <cellStyle name="Normal 2" xfId="4" xr:uid="{FBA68EC7-6169-4E37-B1D1-C21CCFA0ED0A}"/>
    <cellStyle name="Normal 2 2 3" xfId="3" xr:uid="{08A5DE73-129B-4174-8014-531EE05101A6}"/>
    <cellStyle name="Porcentagem" xfId="2" builtinId="5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164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2" defaultPivotStyle="PivotStyleLight16">
    <tableStyle name="Estilo de Tabela 1" pivot="0" count="2" xr9:uid="{720528BD-09F2-47BA-B3E3-6CA653790B3F}">
      <tableStyleElement type="wholeTable" dxfId="29"/>
      <tableStyleElement type="firstColumnStripe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5</xdr:row>
      <xdr:rowOff>171450</xdr:rowOff>
    </xdr:from>
    <xdr:to>
      <xdr:col>5</xdr:col>
      <xdr:colOff>914400</xdr:colOff>
      <xdr:row>8</xdr:row>
      <xdr:rowOff>47625</xdr:rowOff>
    </xdr:to>
    <xdr:sp macro="[0]!abri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693E99D-E473-4369-ADE8-0F7AC931B86D}"/>
            </a:ext>
          </a:extLst>
        </xdr:cNvPr>
        <xdr:cNvSpPr/>
      </xdr:nvSpPr>
      <xdr:spPr>
        <a:xfrm>
          <a:off x="5476875" y="1162050"/>
          <a:ext cx="1609725" cy="485775"/>
        </a:xfrm>
        <a:prstGeom prst="round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Montserrat" panose="00000500000000000000" pitchFamily="2" charset="0"/>
            </a:rPr>
            <a:t>Inserir</a:t>
          </a:r>
          <a:r>
            <a:rPr lang="pt-BR" sz="1200" b="1" baseline="0">
              <a:latin typeface="Montserrat" panose="00000500000000000000" pitchFamily="2" charset="0"/>
            </a:rPr>
            <a:t> Projeto</a:t>
          </a:r>
          <a:endParaRPr lang="pt-BR" sz="1200" b="1">
            <a:latin typeface="Montserrat" panose="00000500000000000000" pitchFamily="2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FE8EE8-7E3F-4193-9925-A2E385724792}" name="Tabela1" displayName="Tabela1" ref="B10:B20" totalsRowShown="0" headerRowDxfId="27" headerRowBorderDxfId="26" tableBorderDxfId="25">
  <autoFilter ref="B10:B20" xr:uid="{89FE8EE8-7E3F-4193-9925-A2E385724792}"/>
  <tableColumns count="1">
    <tableColumn id="1" xr3:uid="{9FD1221A-9C06-4F03-A7AB-BB6659333737}" name="Cliente" dataDxfId="24" dataCellStyle="Porcentagem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A3F65-1AEA-43FF-8983-EA9994DF7101}" name="Tabela3" displayName="Tabela3" ref="B2:H180" totalsRowShown="0" headerRowDxfId="23" headerRowBorderDxfId="22" tableBorderDxfId="21">
  <autoFilter ref="B2:H180" xr:uid="{720A3F65-1AEA-43FF-8983-EA9994DF7101}"/>
  <tableColumns count="7">
    <tableColumn id="1" xr3:uid="{F6EC0E7B-B492-441A-B00A-51DD68102E9B}" name="Categoria" dataDxfId="20"/>
    <tableColumn id="2" xr3:uid="{A2E0C827-B12A-44E6-A928-1CAE3029C72F}" name="Tipo" dataDxfId="19"/>
    <tableColumn id="3" xr3:uid="{33AABDE5-E0A4-44DD-9ED0-6CE4E86C56F9}" name="Item" dataDxfId="18"/>
    <tableColumn id="4" xr3:uid="{985D8FA0-29ED-421E-BF9C-1C492B877953}" name="Descrição" dataDxfId="17"/>
    <tableColumn id="5" xr3:uid="{C6520AF5-3E65-489B-8992-A68706286E0D}" name="Valor Unidade" dataDxfId="16" dataCellStyle="Moeda"/>
    <tableColumn id="6" xr3:uid="{5ABCD8AF-9EF1-4377-A340-9FB16056BD01}" name="Quantidade" dataDxfId="15"/>
    <tableColumn id="7" xr3:uid="{2FA62BD3-B4B2-4B14-9BB4-6F6914EC958C}" name="Custo Líquido" dataDxfId="14" dataCellStyle="Moeda">
      <calculatedColumnFormula>F3*G3*(1-'1. Dados do Projeto'!$B$8)*(1-'1. Dados do Projeto'!$C$8)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A81B20-B6BE-4F83-9895-B29A5D48B72A}" name="Tabela2" displayName="Tabela2" ref="B2:L21" totalsRowShown="0" headerRowDxfId="13" headerRowBorderDxfId="12" tableBorderDxfId="11" headerRowCellStyle="Normal 2 2 3">
  <autoFilter ref="B2:L21" xr:uid="{93A81B20-B6BE-4F83-9895-B29A5D48B72A}"/>
  <tableColumns count="11">
    <tableColumn id="1" xr3:uid="{9B84E594-8877-4CD2-A263-F069D6BC138C}" name="Códigos" dataDxfId="10" dataCellStyle="Normal 2 2 3"/>
    <tableColumn id="2" xr3:uid="{54BD2D6B-773C-45F6-B385-6FE33ECBEB3E}" name="Categorias" dataDxfId="9" dataCellStyle="Normal 2 2 3"/>
    <tableColumn id="3" xr3:uid="{FDBD6F59-019A-447D-A8AB-FD915FBB5AA1}" name="%" dataDxfId="8" dataCellStyle="Normal 2 2 3"/>
    <tableColumn id="4" xr3:uid="{20FFC3E2-FBC5-4151-8AA3-C9624288D34C}" name="Custo" dataDxfId="7" dataCellStyle="Moeda">
      <calculatedColumnFormula>SUMIF('2. Precificação'!$B$3:$B$180, '3. Custo por Categoria'!C3, '2. Precificação'!$H$3:$H$180) * IF(D3 = "x", 1 - $D$5, 1)</calculatedColumnFormula>
    </tableColumn>
    <tableColumn id="5" xr3:uid="{5C8623D5-2855-4AE7-8B66-D240229BC51E}" name="Margem" dataDxfId="6" dataCellStyle="Porcentagem">
      <calculatedColumnFormula xml:space="preserve"> 1 - ( SUM( Tabela3[Custo Líquido]) - SUM($E$3:$E$6) ) / SUM($E$7:$E$19)</calculatedColumnFormula>
    </tableColumn>
    <tableColumn id="6" xr3:uid="{F6D8A864-A7A9-4642-BC1A-233BDD5F772F}" name="Custo Final" dataDxfId="5" dataCellStyle="Moeda">
      <calculatedColumnFormula>E3*(1-F3)</calculatedColumnFormula>
    </tableColumn>
    <tableColumn id="7" xr3:uid="{D1A13792-6984-488F-897D-C82771F889A4}" name="Horas Planejadas" dataDxfId="4" dataCellStyle="Moeda">
      <calculatedColumnFormula>G3/'1. Dados do Projeto'!$D$8</calculatedColumnFormula>
    </tableColumn>
    <tableColumn id="8" xr3:uid="{84E9BB07-4333-4D7E-86EA-9D14C22ACCF0}" name="Dias Planejados" dataDxfId="3" dataCellStyle="Moeda">
      <calculatedColumnFormula>H3/8</calculatedColumnFormula>
    </tableColumn>
    <tableColumn id="9" xr3:uid="{B4E402A7-75F6-45CE-A7D4-13BF087B1783}" name="Início Planejado" dataDxfId="2">
      <calculatedColumnFormula>K2+1</calculatedColumnFormula>
    </tableColumn>
    <tableColumn id="10" xr3:uid="{235ED026-0ECF-4C11-82C6-BE10FCE71EC5}" name="Fim Planejado" dataDxfId="1">
      <calculatedColumnFormula>WORKDAY(J3,I3,'4. Feriados'!$B$3:$B$938)</calculatedColumnFormula>
    </tableColumn>
    <tableColumn id="11" xr3:uid="{5B23188A-B386-4FA6-A4BE-0045EA3F2D8A}" name="Solução" dataDxfId="0">
      <calculatedColumnFormula>'1. Dados do Projeto'!$B$3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06007-E5A0-4D2F-8B9C-69D991DC780C}">
  <sheetPr codeName="Planilha4"/>
  <dimension ref="B2:I22"/>
  <sheetViews>
    <sheetView showGridLines="0" tabSelected="1" workbookViewId="0"/>
  </sheetViews>
  <sheetFormatPr defaultRowHeight="15" x14ac:dyDescent="0.25"/>
  <cols>
    <col min="2" max="2" width="32.28515625" customWidth="1"/>
    <col min="3" max="3" width="17.28515625" customWidth="1"/>
    <col min="4" max="4" width="20.28515625" customWidth="1"/>
    <col min="5" max="5" width="13.5703125" customWidth="1"/>
    <col min="6" max="6" width="18.5703125" customWidth="1"/>
    <col min="7" max="7" width="17.140625" customWidth="1"/>
    <col min="8" max="8" width="16.140625" customWidth="1"/>
    <col min="9" max="9" width="25.5703125" customWidth="1"/>
  </cols>
  <sheetData>
    <row r="2" spans="2:9" ht="18" x14ac:dyDescent="0.25">
      <c r="B2" s="17" t="s">
        <v>226</v>
      </c>
      <c r="C2" s="19" t="s">
        <v>227</v>
      </c>
      <c r="D2" s="19" t="s">
        <v>228</v>
      </c>
      <c r="E2" s="19" t="s">
        <v>267</v>
      </c>
      <c r="F2" s="19" t="s">
        <v>256</v>
      </c>
      <c r="G2" s="19" t="s">
        <v>269</v>
      </c>
      <c r="H2" s="19" t="s">
        <v>270</v>
      </c>
      <c r="I2" s="18" t="s">
        <v>271</v>
      </c>
    </row>
    <row r="3" spans="2:9" x14ac:dyDescent="0.25">
      <c r="B3" s="20" t="s">
        <v>268</v>
      </c>
      <c r="C3" s="14">
        <v>445</v>
      </c>
      <c r="D3" s="28">
        <f>SUMPRODUCT(Tabela3[Quantidade],Tabela3[Valor Unidade])</f>
        <v>183503.08000000002</v>
      </c>
      <c r="E3" s="14"/>
      <c r="F3" s="26"/>
      <c r="G3" s="27">
        <v>44620</v>
      </c>
      <c r="H3" s="27"/>
      <c r="I3" s="33">
        <f>WORKDAY(G3, SUM(Tabela2[Horas Planejadas])/8,'4. Feriados'!$B$3:B938)</f>
        <v>44837</v>
      </c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ht="18" x14ac:dyDescent="0.25">
      <c r="B7" s="17" t="s">
        <v>225</v>
      </c>
      <c r="C7" s="19" t="s">
        <v>224</v>
      </c>
      <c r="D7" s="18" t="s">
        <v>254</v>
      </c>
      <c r="E7" s="2"/>
      <c r="F7" s="2"/>
      <c r="G7" s="2"/>
      <c r="H7" s="2"/>
      <c r="I7" s="2"/>
    </row>
    <row r="8" spans="2:9" x14ac:dyDescent="0.25">
      <c r="B8" s="24">
        <v>0.35</v>
      </c>
      <c r="C8" s="23">
        <v>6.1500073968144053E-2</v>
      </c>
      <c r="D8" s="22">
        <v>100</v>
      </c>
      <c r="E8" s="2"/>
      <c r="F8" s="2"/>
      <c r="G8" s="2"/>
      <c r="H8" s="2"/>
      <c r="I8" s="2"/>
    </row>
    <row r="9" spans="2:9" x14ac:dyDescent="0.25">
      <c r="B9" s="3"/>
      <c r="C9" s="3"/>
      <c r="D9" s="3"/>
      <c r="E9" s="3"/>
      <c r="F9" s="3"/>
      <c r="G9" s="3"/>
      <c r="H9" s="3"/>
      <c r="I9" s="3"/>
    </row>
    <row r="10" spans="2:9" ht="18" x14ac:dyDescent="0.25">
      <c r="B10" s="47" t="s">
        <v>256</v>
      </c>
      <c r="C10" s="3"/>
      <c r="D10" s="3"/>
      <c r="E10" s="3"/>
      <c r="F10" s="3"/>
      <c r="G10" s="3"/>
      <c r="H10" s="3"/>
      <c r="I10" s="3"/>
    </row>
    <row r="11" spans="2:9" x14ac:dyDescent="0.25">
      <c r="B11" s="43" t="s">
        <v>257</v>
      </c>
      <c r="C11" s="3"/>
      <c r="D11" s="3"/>
      <c r="E11" s="3"/>
      <c r="F11" s="3"/>
      <c r="G11" s="3"/>
      <c r="H11" s="3"/>
      <c r="I11" s="3"/>
    </row>
    <row r="12" spans="2:9" x14ac:dyDescent="0.25">
      <c r="B12" s="43" t="s">
        <v>258</v>
      </c>
      <c r="C12" s="3"/>
      <c r="D12" s="3"/>
      <c r="E12" s="3"/>
      <c r="F12" s="3"/>
      <c r="G12" s="3"/>
      <c r="H12" s="3"/>
      <c r="I12" s="3"/>
    </row>
    <row r="13" spans="2:9" x14ac:dyDescent="0.25">
      <c r="B13" s="43" t="s">
        <v>259</v>
      </c>
      <c r="C13" s="3"/>
      <c r="D13" s="3"/>
      <c r="E13" s="3"/>
      <c r="F13" s="3"/>
      <c r="G13" s="3"/>
      <c r="H13" s="3"/>
      <c r="I13" s="3"/>
    </row>
    <row r="14" spans="2:9" x14ac:dyDescent="0.25">
      <c r="B14" s="43" t="s">
        <v>260</v>
      </c>
      <c r="C14" s="3"/>
      <c r="D14" s="3"/>
      <c r="E14" s="3"/>
      <c r="F14" s="3"/>
      <c r="G14" s="3"/>
      <c r="H14" s="3"/>
      <c r="I14" s="3"/>
    </row>
    <row r="15" spans="2:9" x14ac:dyDescent="0.25">
      <c r="B15" s="43" t="s">
        <v>261</v>
      </c>
      <c r="C15" s="3"/>
      <c r="D15" s="3"/>
      <c r="E15" s="3"/>
      <c r="F15" s="3"/>
      <c r="G15" s="3"/>
      <c r="H15" s="3"/>
      <c r="I15" s="3"/>
    </row>
    <row r="16" spans="2:9" x14ac:dyDescent="0.25">
      <c r="B16" s="43" t="s">
        <v>262</v>
      </c>
      <c r="C16" s="3"/>
      <c r="D16" s="3"/>
      <c r="E16" s="3"/>
      <c r="F16" s="3"/>
      <c r="G16" s="3"/>
      <c r="H16" s="3"/>
      <c r="I16" s="3"/>
    </row>
    <row r="17" spans="2:9" x14ac:dyDescent="0.25">
      <c r="B17" s="43" t="s">
        <v>263</v>
      </c>
      <c r="C17" s="3"/>
      <c r="D17" s="3"/>
      <c r="E17" s="3"/>
      <c r="F17" s="3"/>
      <c r="G17" s="3"/>
      <c r="H17" s="3"/>
      <c r="I17" s="3"/>
    </row>
    <row r="18" spans="2:9" x14ac:dyDescent="0.25">
      <c r="B18" s="43" t="s">
        <v>264</v>
      </c>
      <c r="C18" s="3"/>
      <c r="D18" s="3"/>
      <c r="E18" s="3"/>
      <c r="F18" s="3"/>
      <c r="G18" s="3"/>
      <c r="H18" s="3"/>
      <c r="I18" s="3"/>
    </row>
    <row r="19" spans="2:9" x14ac:dyDescent="0.25">
      <c r="B19" s="43" t="s">
        <v>265</v>
      </c>
      <c r="C19" s="3"/>
      <c r="D19" s="3"/>
      <c r="E19" s="3"/>
      <c r="F19" s="3"/>
      <c r="G19" s="3"/>
      <c r="H19" s="3"/>
      <c r="I19" s="3"/>
    </row>
    <row r="20" spans="2:9" x14ac:dyDescent="0.25">
      <c r="B20" s="43" t="s">
        <v>266</v>
      </c>
      <c r="C20" s="3"/>
      <c r="D20" s="3"/>
      <c r="E20" s="3"/>
      <c r="F20" s="3"/>
      <c r="G20" s="3"/>
      <c r="H20" s="3"/>
      <c r="I20" s="3"/>
    </row>
    <row r="21" spans="2:9" x14ac:dyDescent="0.25">
      <c r="C21" s="3"/>
    </row>
    <row r="22" spans="2:9" x14ac:dyDescent="0.25">
      <c r="C22" s="3"/>
    </row>
  </sheetData>
  <dataValidations count="1">
    <dataValidation type="list" allowBlank="1" showInputMessage="1" showErrorMessage="1" sqref="F3" xr:uid="{7166FB6C-BA0D-46A8-BC56-3B8DDC63DC19}">
      <formula1>"Recursus,Claro,Telefônica,Motorola,Engemon,Banco Central,IHS Tower,Phoenix Fibra,Sandin Fibra,FiBrasil"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72AD9-481D-4B42-BBDC-33E82BABC49E}">
  <sheetPr codeName="Planilha1"/>
  <dimension ref="A2:S180"/>
  <sheetViews>
    <sheetView showGridLines="0" workbookViewId="0"/>
  </sheetViews>
  <sheetFormatPr defaultRowHeight="15" x14ac:dyDescent="0.25"/>
  <cols>
    <col min="1" max="1" width="4.140625" style="3" customWidth="1"/>
    <col min="2" max="2" width="17.140625" style="3" customWidth="1"/>
    <col min="3" max="3" width="22.7109375" style="3" customWidth="1"/>
    <col min="4" max="4" width="12" style="3" customWidth="1"/>
    <col min="5" max="5" width="16.85546875" style="3" customWidth="1"/>
    <col min="6" max="6" width="21.28515625" style="3" customWidth="1"/>
    <col min="7" max="7" width="17.85546875" style="3" customWidth="1"/>
    <col min="8" max="8" width="20.7109375" style="3" customWidth="1"/>
    <col min="9" max="9" width="8.140625" style="3" customWidth="1"/>
    <col min="10" max="10" width="32.28515625" style="3" bestFit="1" customWidth="1"/>
    <col min="11" max="11" width="14.140625" style="3" customWidth="1"/>
    <col min="12" max="12" width="22.42578125" style="3" customWidth="1"/>
    <col min="13" max="13" width="17.7109375" style="3" customWidth="1"/>
    <col min="14" max="16" width="14.28515625" style="3" customWidth="1"/>
    <col min="17" max="18" width="15.140625" style="3" customWidth="1"/>
    <col min="19" max="19" width="16.42578125" style="3" customWidth="1"/>
    <col min="20" max="16384" width="9.140625" style="3"/>
  </cols>
  <sheetData>
    <row r="2" spans="1:19" ht="21" customHeight="1" x14ac:dyDescent="0.35">
      <c r="B2" s="57" t="s">
        <v>220</v>
      </c>
      <c r="C2" s="57" t="s">
        <v>221</v>
      </c>
      <c r="D2" s="57" t="s">
        <v>0</v>
      </c>
      <c r="E2" s="58" t="s">
        <v>222</v>
      </c>
      <c r="F2" s="57" t="s">
        <v>223</v>
      </c>
      <c r="G2" s="57" t="s">
        <v>219</v>
      </c>
      <c r="H2" s="58" t="s">
        <v>248</v>
      </c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19" x14ac:dyDescent="0.25">
      <c r="A3" s="1" t="str">
        <f>IF(LEFT(E3,8) = "Vistoria", "x", "")</f>
        <v>x</v>
      </c>
      <c r="B3" s="6" t="s">
        <v>1</v>
      </c>
      <c r="C3" s="6" t="s">
        <v>2</v>
      </c>
      <c r="D3" s="6">
        <v>1</v>
      </c>
      <c r="E3" s="9" t="s">
        <v>3</v>
      </c>
      <c r="F3" s="46">
        <v>4370.18</v>
      </c>
      <c r="G3" s="13">
        <v>0</v>
      </c>
      <c r="H3" s="5">
        <f>F3*G3*(1-'1. Dados do Projeto'!$B$8)*(1-'1. Dados do Projeto'!$C$8)</f>
        <v>0</v>
      </c>
      <c r="J3" s="38"/>
      <c r="K3" s="38"/>
      <c r="L3" s="39"/>
      <c r="M3" s="38"/>
      <c r="N3" s="38"/>
      <c r="O3" s="40"/>
      <c r="P3" s="41"/>
      <c r="Q3" s="41"/>
      <c r="R3" s="41"/>
      <c r="S3" s="42"/>
    </row>
    <row r="4" spans="1:19" x14ac:dyDescent="0.25">
      <c r="A4" s="1" t="str">
        <f t="shared" ref="A4:A67" si="0">IF(LEFT(E4,8) = "Vistoria", "x", "")</f>
        <v>x</v>
      </c>
      <c r="B4" s="6" t="s">
        <v>1</v>
      </c>
      <c r="C4" s="6" t="s">
        <v>2</v>
      </c>
      <c r="D4" s="6">
        <v>2</v>
      </c>
      <c r="E4" s="9" t="s">
        <v>4</v>
      </c>
      <c r="F4" s="46">
        <v>9210.33</v>
      </c>
      <c r="G4" s="13">
        <v>0</v>
      </c>
      <c r="H4" s="5">
        <f>F4*G4*(1-'1. Dados do Projeto'!$B$8)*(1-'1. Dados do Projeto'!$C$8)</f>
        <v>0</v>
      </c>
      <c r="J4" s="38"/>
      <c r="K4" s="38"/>
      <c r="L4" s="38"/>
      <c r="M4" s="38"/>
      <c r="N4" s="38"/>
      <c r="O4" s="38"/>
      <c r="P4" s="38"/>
      <c r="Q4" s="38"/>
      <c r="R4" s="38"/>
      <c r="S4" s="38"/>
    </row>
    <row r="5" spans="1:19" x14ac:dyDescent="0.25">
      <c r="A5" s="1" t="str">
        <f t="shared" si="0"/>
        <v>x</v>
      </c>
      <c r="B5" s="6" t="s">
        <v>1</v>
      </c>
      <c r="C5" s="6" t="s">
        <v>2</v>
      </c>
      <c r="D5" s="6">
        <v>3</v>
      </c>
      <c r="E5" s="9" t="s">
        <v>5</v>
      </c>
      <c r="F5" s="46">
        <v>11160.95</v>
      </c>
      <c r="G5" s="13">
        <v>0</v>
      </c>
      <c r="H5" s="5">
        <f>F5*G5*(1-'1. Dados do Projeto'!$B$8)*(1-'1. Dados do Projeto'!$C$8)</f>
        <v>0</v>
      </c>
      <c r="J5" s="38"/>
      <c r="K5" s="38"/>
      <c r="L5" s="38"/>
      <c r="M5" s="38"/>
      <c r="N5" s="38"/>
      <c r="O5" s="38"/>
      <c r="P5" s="38"/>
      <c r="Q5" s="38"/>
      <c r="R5" s="38"/>
      <c r="S5" s="38"/>
    </row>
    <row r="6" spans="1:19" x14ac:dyDescent="0.25">
      <c r="A6" s="1" t="str">
        <f t="shared" si="0"/>
        <v>x</v>
      </c>
      <c r="B6" s="6" t="s">
        <v>1</v>
      </c>
      <c r="C6" s="6" t="s">
        <v>2</v>
      </c>
      <c r="D6" s="6">
        <v>4</v>
      </c>
      <c r="E6" s="9" t="s">
        <v>6</v>
      </c>
      <c r="F6" s="46">
        <v>13990.83</v>
      </c>
      <c r="G6" s="13">
        <v>0</v>
      </c>
      <c r="H6" s="5">
        <f>F6*G6*(1-'1. Dados do Projeto'!$B$8)*(1-'1. Dados do Projeto'!$C$8)</f>
        <v>0</v>
      </c>
      <c r="J6" s="38"/>
      <c r="K6" s="38"/>
      <c r="L6" s="38"/>
      <c r="M6" s="38"/>
      <c r="N6" s="38"/>
      <c r="O6" s="38"/>
      <c r="P6" s="38"/>
      <c r="Q6" s="38"/>
      <c r="R6" s="38"/>
      <c r="S6" s="38"/>
    </row>
    <row r="7" spans="1:19" ht="18" x14ac:dyDescent="0.25">
      <c r="A7" s="1" t="str">
        <f t="shared" si="0"/>
        <v>x</v>
      </c>
      <c r="B7" s="6" t="s">
        <v>1</v>
      </c>
      <c r="C7" s="6" t="s">
        <v>2</v>
      </c>
      <c r="D7" s="6">
        <v>5</v>
      </c>
      <c r="E7" s="9" t="s">
        <v>7</v>
      </c>
      <c r="F7" s="46">
        <v>10000</v>
      </c>
      <c r="G7" s="13">
        <v>0</v>
      </c>
      <c r="H7" s="5">
        <f>F7*G7*(1-'1. Dados do Projeto'!$B$8)*(1-'1. Dados do Projeto'!$C$8)</f>
        <v>0</v>
      </c>
      <c r="J7" s="37"/>
      <c r="K7" s="37"/>
      <c r="L7" s="37"/>
      <c r="M7" s="38"/>
      <c r="N7" s="38"/>
      <c r="O7" s="38"/>
      <c r="P7" s="38"/>
      <c r="Q7" s="38"/>
      <c r="R7" s="38"/>
      <c r="S7" s="38"/>
    </row>
    <row r="8" spans="1:19" x14ac:dyDescent="0.25">
      <c r="A8" s="1" t="str">
        <f t="shared" si="0"/>
        <v>x</v>
      </c>
      <c r="B8" s="6" t="s">
        <v>1</v>
      </c>
      <c r="C8" s="6" t="s">
        <v>2</v>
      </c>
      <c r="D8" s="6">
        <v>6</v>
      </c>
      <c r="E8" s="9" t="s">
        <v>8</v>
      </c>
      <c r="F8" s="46">
        <v>11500</v>
      </c>
      <c r="G8" s="13">
        <v>0</v>
      </c>
      <c r="H8" s="5">
        <f>F8*G8*(1-'1. Dados do Projeto'!$B$8)*(1-'1. Dados do Projeto'!$C$8)</f>
        <v>0</v>
      </c>
      <c r="J8" s="43"/>
      <c r="K8" s="44"/>
      <c r="L8" s="39"/>
      <c r="M8" s="38"/>
      <c r="N8" s="38"/>
      <c r="O8" s="38"/>
      <c r="P8" s="38"/>
      <c r="Q8" s="38"/>
      <c r="R8" s="38"/>
      <c r="S8" s="38"/>
    </row>
    <row r="9" spans="1:19" x14ac:dyDescent="0.25">
      <c r="A9" s="1" t="str">
        <f t="shared" si="0"/>
        <v>x</v>
      </c>
      <c r="B9" s="6" t="s">
        <v>1</v>
      </c>
      <c r="C9" s="6" t="s">
        <v>2</v>
      </c>
      <c r="D9" s="6">
        <v>7</v>
      </c>
      <c r="E9" s="9" t="s">
        <v>9</v>
      </c>
      <c r="F9" s="46">
        <v>12000</v>
      </c>
      <c r="G9" s="13">
        <v>0</v>
      </c>
      <c r="H9" s="5">
        <f>F9*G9*(1-'1. Dados do Projeto'!$B$8)*(1-'1. Dados do Projeto'!$C$8)</f>
        <v>0</v>
      </c>
      <c r="J9" s="45"/>
      <c r="K9" s="45"/>
      <c r="L9" s="45"/>
      <c r="M9" s="45"/>
      <c r="N9" s="45"/>
      <c r="O9" s="45"/>
      <c r="P9" s="45"/>
      <c r="Q9" s="45"/>
      <c r="R9" s="45"/>
      <c r="S9" s="45"/>
    </row>
    <row r="10" spans="1:19" x14ac:dyDescent="0.25">
      <c r="A10" s="1" t="str">
        <f t="shared" si="0"/>
        <v>x</v>
      </c>
      <c r="B10" s="6" t="s">
        <v>1</v>
      </c>
      <c r="C10" s="6" t="s">
        <v>2</v>
      </c>
      <c r="D10" s="6">
        <v>8</v>
      </c>
      <c r="E10" s="9" t="s">
        <v>10</v>
      </c>
      <c r="F10" s="46">
        <v>14000</v>
      </c>
      <c r="G10" s="13">
        <v>0</v>
      </c>
      <c r="H10" s="5">
        <f>F10*G10*(1-'1. Dados do Projeto'!$B$8)*(1-'1. Dados do Projeto'!$C$8)</f>
        <v>0</v>
      </c>
      <c r="J10" s="45"/>
      <c r="K10" s="45"/>
      <c r="L10" s="45"/>
      <c r="M10" s="45"/>
      <c r="N10" s="45"/>
      <c r="O10" s="45"/>
      <c r="P10" s="45"/>
      <c r="Q10" s="45"/>
      <c r="R10" s="45"/>
      <c r="S10" s="45"/>
    </row>
    <row r="11" spans="1:19" x14ac:dyDescent="0.25">
      <c r="A11" s="1" t="str">
        <f t="shared" si="0"/>
        <v>x</v>
      </c>
      <c r="B11" s="6" t="s">
        <v>1</v>
      </c>
      <c r="C11" s="6" t="s">
        <v>2</v>
      </c>
      <c r="D11" s="6">
        <v>9</v>
      </c>
      <c r="E11" s="9" t="s">
        <v>11</v>
      </c>
      <c r="F11" s="46">
        <v>16500</v>
      </c>
      <c r="G11" s="13">
        <v>1</v>
      </c>
      <c r="H11" s="5">
        <f>F11*G11*(1-'1. Dados do Projeto'!$B$8)*(1-'1. Dados do Projeto'!$C$8)</f>
        <v>10065.411706691655</v>
      </c>
      <c r="J11" s="38"/>
      <c r="K11" s="45"/>
      <c r="L11" s="45"/>
      <c r="M11" s="45"/>
      <c r="N11" s="45"/>
      <c r="O11" s="45"/>
      <c r="P11" s="45"/>
      <c r="Q11" s="45"/>
      <c r="R11" s="45"/>
      <c r="S11" s="45"/>
    </row>
    <row r="12" spans="1:19" x14ac:dyDescent="0.25">
      <c r="A12" s="1" t="str">
        <f t="shared" si="0"/>
        <v>x</v>
      </c>
      <c r="B12" s="6" t="s">
        <v>1</v>
      </c>
      <c r="C12" s="6" t="s">
        <v>2</v>
      </c>
      <c r="D12" s="6">
        <v>10</v>
      </c>
      <c r="E12" s="9" t="s">
        <v>12</v>
      </c>
      <c r="F12" s="46">
        <v>21000</v>
      </c>
      <c r="G12" s="13">
        <v>0</v>
      </c>
      <c r="H12" s="5">
        <f>F12*G12*(1-'1. Dados do Projeto'!$B$8)*(1-'1. Dados do Projeto'!$C$8)</f>
        <v>0</v>
      </c>
      <c r="J12" s="38"/>
      <c r="K12" s="45"/>
      <c r="L12" s="45"/>
      <c r="M12" s="45"/>
      <c r="N12" s="45"/>
      <c r="O12" s="45"/>
      <c r="P12" s="45"/>
      <c r="Q12" s="45"/>
      <c r="R12" s="45"/>
      <c r="S12" s="45"/>
    </row>
    <row r="13" spans="1:19" x14ac:dyDescent="0.25">
      <c r="A13" s="1" t="str">
        <f t="shared" si="0"/>
        <v>x</v>
      </c>
      <c r="B13" s="6" t="s">
        <v>1</v>
      </c>
      <c r="C13" s="6" t="s">
        <v>2</v>
      </c>
      <c r="D13" s="6">
        <v>11</v>
      </c>
      <c r="E13" s="9" t="s">
        <v>13</v>
      </c>
      <c r="F13" s="46">
        <v>24000</v>
      </c>
      <c r="G13" s="13">
        <v>0</v>
      </c>
      <c r="H13" s="5">
        <f>F13*G13*(1-'1. Dados do Projeto'!$B$8)*(1-'1. Dados do Projeto'!$C$8)</f>
        <v>0</v>
      </c>
      <c r="J13" s="38"/>
      <c r="K13" s="45"/>
      <c r="L13" s="45"/>
      <c r="M13" s="45"/>
      <c r="N13" s="45"/>
      <c r="O13" s="45"/>
      <c r="P13" s="45"/>
      <c r="Q13" s="45"/>
      <c r="R13" s="45"/>
      <c r="S13" s="45"/>
    </row>
    <row r="14" spans="1:19" x14ac:dyDescent="0.25">
      <c r="A14" s="1" t="str">
        <f t="shared" si="0"/>
        <v>x</v>
      </c>
      <c r="B14" s="6" t="s">
        <v>1</v>
      </c>
      <c r="C14" s="6" t="s">
        <v>2</v>
      </c>
      <c r="D14" s="6">
        <v>12</v>
      </c>
      <c r="E14" s="9" t="s">
        <v>14</v>
      </c>
      <c r="F14" s="46">
        <v>1594.83</v>
      </c>
      <c r="G14" s="13">
        <v>0</v>
      </c>
      <c r="H14" s="5">
        <f>F14*G14*(1-'1. Dados do Projeto'!$B$8)*(1-'1. Dados do Projeto'!$C$8)</f>
        <v>0</v>
      </c>
      <c r="J14" s="38"/>
      <c r="K14" s="45"/>
      <c r="L14" s="45"/>
      <c r="M14" s="45"/>
      <c r="N14" s="45"/>
      <c r="O14" s="45"/>
      <c r="P14" s="45"/>
      <c r="Q14" s="45"/>
      <c r="R14" s="45"/>
      <c r="S14" s="45"/>
    </row>
    <row r="15" spans="1:19" x14ac:dyDescent="0.25">
      <c r="A15" s="1" t="str">
        <f t="shared" si="0"/>
        <v>x</v>
      </c>
      <c r="B15" s="6" t="s">
        <v>1</v>
      </c>
      <c r="C15" s="6" t="s">
        <v>2</v>
      </c>
      <c r="D15" s="6">
        <v>13</v>
      </c>
      <c r="E15" s="9" t="s">
        <v>15</v>
      </c>
      <c r="F15" s="46">
        <v>2055.8200000000002</v>
      </c>
      <c r="G15" s="13">
        <v>0</v>
      </c>
      <c r="H15" s="5">
        <f>F15*G15*(1-'1. Dados do Projeto'!$B$8)*(1-'1. Dados do Projeto'!$C$8)</f>
        <v>0</v>
      </c>
      <c r="J15" s="38"/>
      <c r="K15" s="45"/>
      <c r="L15" s="45"/>
      <c r="M15" s="45"/>
      <c r="N15" s="45"/>
      <c r="O15" s="45"/>
      <c r="P15" s="45"/>
      <c r="Q15" s="45"/>
      <c r="R15" s="45"/>
      <c r="S15" s="45"/>
    </row>
    <row r="16" spans="1:19" x14ac:dyDescent="0.25">
      <c r="A16" s="1" t="str">
        <f t="shared" si="0"/>
        <v>x</v>
      </c>
      <c r="B16" s="6" t="s">
        <v>1</v>
      </c>
      <c r="C16" s="6" t="s">
        <v>2</v>
      </c>
      <c r="D16" s="6">
        <v>14</v>
      </c>
      <c r="E16" s="9" t="s">
        <v>16</v>
      </c>
      <c r="F16" s="46">
        <v>11695.5</v>
      </c>
      <c r="G16" s="13">
        <v>0</v>
      </c>
      <c r="H16" s="5">
        <f>F16*G16*(1-'1. Dados do Projeto'!$B$8)*(1-'1. Dados do Projeto'!$C$8)</f>
        <v>0</v>
      </c>
      <c r="J16" s="38"/>
      <c r="K16" s="45"/>
      <c r="L16" s="45"/>
      <c r="M16" s="45"/>
      <c r="N16" s="45"/>
      <c r="O16" s="45"/>
      <c r="P16" s="45"/>
      <c r="Q16" s="45"/>
      <c r="R16" s="45"/>
      <c r="S16" s="45"/>
    </row>
    <row r="17" spans="1:19" x14ac:dyDescent="0.25">
      <c r="A17" s="1" t="str">
        <f t="shared" si="0"/>
        <v>x</v>
      </c>
      <c r="B17" s="6" t="s">
        <v>1</v>
      </c>
      <c r="C17" s="6" t="s">
        <v>2</v>
      </c>
      <c r="D17" s="6">
        <v>15</v>
      </c>
      <c r="E17" s="9" t="s">
        <v>17</v>
      </c>
      <c r="F17" s="46">
        <v>4697</v>
      </c>
      <c r="G17" s="13">
        <v>0</v>
      </c>
      <c r="H17" s="5">
        <f>F17*G17*(1-'1. Dados do Projeto'!$B$8)*(1-'1. Dados do Projeto'!$C$8)</f>
        <v>0</v>
      </c>
      <c r="J17" s="38"/>
      <c r="K17" s="45"/>
      <c r="L17" s="45"/>
      <c r="M17" s="45"/>
      <c r="N17" s="45"/>
      <c r="O17" s="45"/>
      <c r="P17" s="45"/>
      <c r="Q17" s="45"/>
      <c r="R17" s="45"/>
      <c r="S17" s="45"/>
    </row>
    <row r="18" spans="1:19" x14ac:dyDescent="0.25">
      <c r="A18" s="1" t="str">
        <f t="shared" si="0"/>
        <v>x</v>
      </c>
      <c r="B18" s="6" t="s">
        <v>1</v>
      </c>
      <c r="C18" s="6" t="s">
        <v>2</v>
      </c>
      <c r="D18" s="6">
        <v>16</v>
      </c>
      <c r="E18" s="9" t="s">
        <v>18</v>
      </c>
      <c r="F18" s="46">
        <v>5710.15</v>
      </c>
      <c r="G18" s="13">
        <v>0</v>
      </c>
      <c r="H18" s="5">
        <f>F18*G18*(1-'1. Dados do Projeto'!$B$8)*(1-'1. Dados do Projeto'!$C$8)</f>
        <v>0</v>
      </c>
      <c r="J18" s="38"/>
      <c r="K18" s="45"/>
      <c r="L18" s="45"/>
      <c r="M18" s="45"/>
      <c r="N18" s="45"/>
      <c r="O18" s="45"/>
      <c r="P18" s="45"/>
      <c r="Q18" s="45"/>
      <c r="R18" s="45"/>
      <c r="S18" s="45"/>
    </row>
    <row r="19" spans="1:19" x14ac:dyDescent="0.25">
      <c r="A19" s="1" t="str">
        <f t="shared" si="0"/>
        <v>x</v>
      </c>
      <c r="B19" s="6" t="s">
        <v>1</v>
      </c>
      <c r="C19" s="6" t="s">
        <v>2</v>
      </c>
      <c r="D19" s="6">
        <v>17</v>
      </c>
      <c r="E19" s="9" t="s">
        <v>19</v>
      </c>
      <c r="F19" s="46">
        <v>4296.6500000000005</v>
      </c>
      <c r="G19" s="13">
        <v>0</v>
      </c>
      <c r="H19" s="5">
        <f>F19*G19*(1-'1. Dados do Projeto'!$B$8)*(1-'1. Dados do Projeto'!$C$8)</f>
        <v>0</v>
      </c>
      <c r="J19" s="38"/>
      <c r="K19" s="45"/>
      <c r="L19" s="45"/>
      <c r="M19" s="45"/>
      <c r="N19" s="45"/>
      <c r="O19" s="45"/>
      <c r="P19" s="45"/>
      <c r="Q19" s="45"/>
      <c r="R19" s="45"/>
      <c r="S19" s="45"/>
    </row>
    <row r="20" spans="1:19" x14ac:dyDescent="0.25">
      <c r="A20" s="1" t="str">
        <f t="shared" si="0"/>
        <v>x</v>
      </c>
      <c r="B20" s="6" t="s">
        <v>20</v>
      </c>
      <c r="C20" s="6" t="s">
        <v>21</v>
      </c>
      <c r="D20" s="6">
        <v>18</v>
      </c>
      <c r="E20" s="9" t="s">
        <v>22</v>
      </c>
      <c r="F20" s="46">
        <v>2185.9</v>
      </c>
      <c r="G20" s="13">
        <v>0</v>
      </c>
      <c r="H20" s="5">
        <f>F20*G20*(1-'1. Dados do Projeto'!$B$8)*(1-'1. Dados do Projeto'!$C$8)</f>
        <v>0</v>
      </c>
      <c r="J20" s="38"/>
      <c r="K20" s="45"/>
      <c r="L20" s="45"/>
      <c r="M20" s="45"/>
      <c r="N20" s="45"/>
      <c r="O20" s="45"/>
      <c r="P20" s="45"/>
      <c r="Q20" s="45"/>
      <c r="R20" s="45"/>
      <c r="S20" s="45"/>
    </row>
    <row r="21" spans="1:19" x14ac:dyDescent="0.25">
      <c r="A21" s="1" t="str">
        <f t="shared" si="0"/>
        <v>x</v>
      </c>
      <c r="B21" s="6" t="s">
        <v>20</v>
      </c>
      <c r="C21" s="6" t="s">
        <v>21</v>
      </c>
      <c r="D21" s="6">
        <v>19</v>
      </c>
      <c r="E21" s="9" t="s">
        <v>23</v>
      </c>
      <c r="F21" s="46">
        <v>5627.35</v>
      </c>
      <c r="G21" s="13">
        <v>0</v>
      </c>
      <c r="H21" s="5">
        <f>F21*G21*(1-'1. Dados do Projeto'!$B$8)*(1-'1. Dados do Projeto'!$C$8)</f>
        <v>0</v>
      </c>
      <c r="J21" s="2"/>
    </row>
    <row r="22" spans="1:19" x14ac:dyDescent="0.25">
      <c r="A22" s="1" t="str">
        <f t="shared" si="0"/>
        <v>x</v>
      </c>
      <c r="B22" s="6" t="s">
        <v>20</v>
      </c>
      <c r="C22" s="6" t="s">
        <v>21</v>
      </c>
      <c r="D22" s="6">
        <v>20</v>
      </c>
      <c r="E22" s="9" t="s">
        <v>24</v>
      </c>
      <c r="F22" s="46">
        <v>9719.15</v>
      </c>
      <c r="G22" s="13">
        <v>0</v>
      </c>
      <c r="H22" s="5">
        <f>F22*G22*(1-'1. Dados do Projeto'!$B$8)*(1-'1. Dados do Projeto'!$C$8)</f>
        <v>0</v>
      </c>
    </row>
    <row r="23" spans="1:19" x14ac:dyDescent="0.25">
      <c r="A23" s="1" t="str">
        <f t="shared" si="0"/>
        <v>x</v>
      </c>
      <c r="B23" s="6" t="s">
        <v>20</v>
      </c>
      <c r="C23" s="6" t="s">
        <v>21</v>
      </c>
      <c r="D23" s="6">
        <v>21</v>
      </c>
      <c r="E23" s="9" t="s">
        <v>25</v>
      </c>
      <c r="F23" s="46">
        <v>12890.1</v>
      </c>
      <c r="G23" s="13">
        <v>0</v>
      </c>
      <c r="H23" s="5">
        <f>F23*G23*(1-'1. Dados do Projeto'!$B$8)*(1-'1. Dados do Projeto'!$C$8)</f>
        <v>0</v>
      </c>
    </row>
    <row r="24" spans="1:19" x14ac:dyDescent="0.25">
      <c r="A24" s="1" t="str">
        <f t="shared" si="0"/>
        <v>x</v>
      </c>
      <c r="B24" s="6" t="s">
        <v>20</v>
      </c>
      <c r="C24" s="6" t="s">
        <v>21</v>
      </c>
      <c r="D24" s="6">
        <v>22</v>
      </c>
      <c r="E24" s="9" t="s">
        <v>26</v>
      </c>
      <c r="F24" s="46">
        <v>62596.350000000006</v>
      </c>
      <c r="G24" s="13">
        <v>0</v>
      </c>
      <c r="H24" s="5">
        <f>F24*G24*(1-'1. Dados do Projeto'!$B$8)*(1-'1. Dados do Projeto'!$C$8)</f>
        <v>0</v>
      </c>
    </row>
    <row r="25" spans="1:19" x14ac:dyDescent="0.25">
      <c r="A25" s="1" t="str">
        <f t="shared" si="0"/>
        <v>x</v>
      </c>
      <c r="B25" s="6" t="s">
        <v>1</v>
      </c>
      <c r="C25" s="6" t="s">
        <v>27</v>
      </c>
      <c r="D25" s="6">
        <v>23</v>
      </c>
      <c r="E25" s="9" t="s">
        <v>28</v>
      </c>
      <c r="F25" s="46">
        <v>6483.15</v>
      </c>
      <c r="G25" s="13">
        <v>0</v>
      </c>
      <c r="H25" s="5">
        <f>F25*G25*(1-'1. Dados do Projeto'!$B$8)*(1-'1. Dados do Projeto'!$C$8)</f>
        <v>0</v>
      </c>
    </row>
    <row r="26" spans="1:19" x14ac:dyDescent="0.25">
      <c r="A26" s="1" t="str">
        <f t="shared" si="0"/>
        <v>x</v>
      </c>
      <c r="B26" s="6" t="s">
        <v>1</v>
      </c>
      <c r="C26" s="6" t="s">
        <v>27</v>
      </c>
      <c r="D26" s="6">
        <v>24</v>
      </c>
      <c r="E26" s="9" t="s">
        <v>29</v>
      </c>
      <c r="F26" s="46">
        <v>13354.65</v>
      </c>
      <c r="G26" s="13">
        <v>0</v>
      </c>
      <c r="H26" s="5">
        <f>F26*G26*(1-'1. Dados do Projeto'!$B$8)*(1-'1. Dados do Projeto'!$C$8)</f>
        <v>0</v>
      </c>
    </row>
    <row r="27" spans="1:19" x14ac:dyDescent="0.25">
      <c r="A27" s="1" t="str">
        <f t="shared" si="0"/>
        <v>x</v>
      </c>
      <c r="B27" s="6" t="s">
        <v>1</v>
      </c>
      <c r="C27" s="6" t="s">
        <v>27</v>
      </c>
      <c r="D27" s="6">
        <v>25</v>
      </c>
      <c r="E27" s="9" t="s">
        <v>30</v>
      </c>
      <c r="F27" s="46">
        <v>19505.099999999999</v>
      </c>
      <c r="G27" s="13">
        <v>0</v>
      </c>
      <c r="H27" s="5">
        <f>F27*G27*(1-'1. Dados do Projeto'!$B$8)*(1-'1. Dados do Projeto'!$C$8)</f>
        <v>0</v>
      </c>
    </row>
    <row r="28" spans="1:19" x14ac:dyDescent="0.25">
      <c r="A28" s="1" t="str">
        <f t="shared" si="0"/>
        <v>x</v>
      </c>
      <c r="B28" s="6" t="s">
        <v>1</v>
      </c>
      <c r="C28" s="6" t="s">
        <v>27</v>
      </c>
      <c r="D28" s="6">
        <v>26</v>
      </c>
      <c r="E28" s="9" t="s">
        <v>31</v>
      </c>
      <c r="F28" s="46">
        <v>25780.2</v>
      </c>
      <c r="G28" s="13">
        <v>0</v>
      </c>
      <c r="H28" s="5">
        <f>F28*G28*(1-'1. Dados do Projeto'!$B$8)*(1-'1. Dados do Projeto'!$C$8)</f>
        <v>0</v>
      </c>
    </row>
    <row r="29" spans="1:19" x14ac:dyDescent="0.25">
      <c r="A29" s="1" t="str">
        <f t="shared" si="0"/>
        <v>x</v>
      </c>
      <c r="B29" s="6" t="s">
        <v>1</v>
      </c>
      <c r="C29" s="6" t="s">
        <v>27</v>
      </c>
      <c r="D29" s="6">
        <v>27</v>
      </c>
      <c r="E29" s="9" t="s">
        <v>32</v>
      </c>
      <c r="F29" s="46">
        <v>29744.7</v>
      </c>
      <c r="G29" s="13">
        <v>0</v>
      </c>
      <c r="H29" s="5">
        <f>F29*G29*(1-'1. Dados do Projeto'!$B$8)*(1-'1. Dados do Projeto'!$C$8)</f>
        <v>0</v>
      </c>
    </row>
    <row r="30" spans="1:19" x14ac:dyDescent="0.25">
      <c r="A30" s="1" t="str">
        <f t="shared" si="0"/>
        <v>x</v>
      </c>
      <c r="B30" s="6" t="s">
        <v>1</v>
      </c>
      <c r="C30" s="6" t="s">
        <v>33</v>
      </c>
      <c r="D30" s="6">
        <v>28</v>
      </c>
      <c r="E30" s="9" t="s">
        <v>34</v>
      </c>
      <c r="F30" s="46">
        <v>6798.75</v>
      </c>
      <c r="G30" s="13">
        <v>0</v>
      </c>
      <c r="H30" s="5">
        <f>F30*G30*(1-'1. Dados do Projeto'!$B$8)*(1-'1. Dados do Projeto'!$C$8)</f>
        <v>0</v>
      </c>
    </row>
    <row r="31" spans="1:19" x14ac:dyDescent="0.25">
      <c r="A31" s="1" t="str">
        <f t="shared" si="0"/>
        <v>x</v>
      </c>
      <c r="B31" s="6" t="s">
        <v>1</v>
      </c>
      <c r="C31" s="6" t="s">
        <v>33</v>
      </c>
      <c r="D31" s="6">
        <v>29</v>
      </c>
      <c r="E31" s="9" t="s">
        <v>35</v>
      </c>
      <c r="F31" s="46">
        <v>8862.75</v>
      </c>
      <c r="G31" s="13">
        <v>0</v>
      </c>
      <c r="H31" s="5">
        <f>F31*G31*(1-'1. Dados do Projeto'!$B$8)*(1-'1. Dados do Projeto'!$C$8)</f>
        <v>0</v>
      </c>
    </row>
    <row r="32" spans="1:19" x14ac:dyDescent="0.25">
      <c r="A32" s="1" t="str">
        <f t="shared" si="0"/>
        <v>x</v>
      </c>
      <c r="B32" s="6" t="s">
        <v>1</v>
      </c>
      <c r="C32" s="6" t="s">
        <v>33</v>
      </c>
      <c r="D32" s="6">
        <v>30</v>
      </c>
      <c r="E32" s="9" t="s">
        <v>36</v>
      </c>
      <c r="F32" s="46">
        <v>11652.15</v>
      </c>
      <c r="G32" s="13">
        <v>0</v>
      </c>
      <c r="H32" s="5">
        <f>F32*G32*(1-'1. Dados do Projeto'!$B$8)*(1-'1. Dados do Projeto'!$C$8)</f>
        <v>0</v>
      </c>
    </row>
    <row r="33" spans="1:8" x14ac:dyDescent="0.25">
      <c r="A33" s="1" t="str">
        <f t="shared" si="0"/>
        <v>x</v>
      </c>
      <c r="B33" s="6" t="s">
        <v>1</v>
      </c>
      <c r="C33" s="6" t="s">
        <v>33</v>
      </c>
      <c r="D33" s="6">
        <v>31</v>
      </c>
      <c r="E33" s="9" t="s">
        <v>37</v>
      </c>
      <c r="F33" s="46">
        <v>1192.32</v>
      </c>
      <c r="G33" s="13">
        <v>0</v>
      </c>
      <c r="H33" s="5">
        <f>F33*G33*(1-'1. Dados do Projeto'!$B$8)*(1-'1. Dados do Projeto'!$C$8)</f>
        <v>0</v>
      </c>
    </row>
    <row r="34" spans="1:8" x14ac:dyDescent="0.25">
      <c r="A34" s="1" t="str">
        <f t="shared" si="0"/>
        <v>x</v>
      </c>
      <c r="B34" s="6" t="s">
        <v>1</v>
      </c>
      <c r="C34" s="6" t="s">
        <v>33</v>
      </c>
      <c r="D34" s="6">
        <v>32</v>
      </c>
      <c r="E34" s="9" t="s">
        <v>38</v>
      </c>
      <c r="F34" s="46">
        <v>1445.23</v>
      </c>
      <c r="G34" s="13">
        <v>0</v>
      </c>
      <c r="H34" s="5">
        <f>F34*G34*(1-'1. Dados do Projeto'!$B$8)*(1-'1. Dados do Projeto'!$C$8)</f>
        <v>0</v>
      </c>
    </row>
    <row r="35" spans="1:8" x14ac:dyDescent="0.25">
      <c r="A35" s="1" t="str">
        <f t="shared" si="0"/>
        <v>x</v>
      </c>
      <c r="B35" s="6" t="s">
        <v>1</v>
      </c>
      <c r="C35" s="6" t="s">
        <v>33</v>
      </c>
      <c r="D35" s="6">
        <v>33</v>
      </c>
      <c r="E35" s="9" t="s">
        <v>39</v>
      </c>
      <c r="F35" s="46">
        <v>1806.53</v>
      </c>
      <c r="G35" s="13">
        <v>1</v>
      </c>
      <c r="H35" s="5">
        <f>F35*G35*(1-'1. Dados do Projeto'!$B$8)*(1-'1. Dados do Projeto'!$C$8)</f>
        <v>1102.0283763933137</v>
      </c>
    </row>
    <row r="36" spans="1:8" x14ac:dyDescent="0.25">
      <c r="A36" s="1" t="str">
        <f t="shared" si="0"/>
        <v>x</v>
      </c>
      <c r="B36" s="6" t="s">
        <v>1</v>
      </c>
      <c r="C36" s="6" t="s">
        <v>33</v>
      </c>
      <c r="D36" s="6">
        <v>34</v>
      </c>
      <c r="E36" s="9" t="s">
        <v>40</v>
      </c>
      <c r="F36" s="46">
        <v>9935.15</v>
      </c>
      <c r="G36" s="13">
        <v>0</v>
      </c>
      <c r="H36" s="5">
        <f>F36*G36*(1-'1. Dados do Projeto'!$B$8)*(1-'1. Dados do Projeto'!$C$8)</f>
        <v>0</v>
      </c>
    </row>
    <row r="37" spans="1:8" x14ac:dyDescent="0.25">
      <c r="A37" s="1" t="str">
        <f t="shared" si="0"/>
        <v>x</v>
      </c>
      <c r="B37" s="6" t="s">
        <v>1</v>
      </c>
      <c r="C37" s="6" t="s">
        <v>33</v>
      </c>
      <c r="D37" s="6">
        <v>35</v>
      </c>
      <c r="E37" s="9" t="s">
        <v>41</v>
      </c>
      <c r="F37" s="46">
        <v>12103.800000000001</v>
      </c>
      <c r="G37" s="13">
        <v>0</v>
      </c>
      <c r="H37" s="5">
        <f>F37*G37*(1-'1. Dados do Projeto'!$B$8)*(1-'1. Dados do Projeto'!$C$8)</f>
        <v>0</v>
      </c>
    </row>
    <row r="38" spans="1:8" x14ac:dyDescent="0.25">
      <c r="A38" s="1" t="str">
        <f t="shared" si="0"/>
        <v>x</v>
      </c>
      <c r="B38" s="6" t="s">
        <v>1</v>
      </c>
      <c r="C38" s="6" t="s">
        <v>33</v>
      </c>
      <c r="D38" s="6">
        <v>36</v>
      </c>
      <c r="E38" s="9" t="s">
        <v>42</v>
      </c>
      <c r="F38" s="46">
        <v>13549.05</v>
      </c>
      <c r="G38" s="13">
        <v>0</v>
      </c>
      <c r="H38" s="5">
        <f>F38*G38*(1-'1. Dados do Projeto'!$B$8)*(1-'1. Dados do Projeto'!$C$8)</f>
        <v>0</v>
      </c>
    </row>
    <row r="39" spans="1:8" x14ac:dyDescent="0.25">
      <c r="A39" s="1" t="str">
        <f t="shared" si="0"/>
        <v>x</v>
      </c>
      <c r="B39" s="6" t="s">
        <v>1</v>
      </c>
      <c r="C39" s="6" t="s">
        <v>33</v>
      </c>
      <c r="D39" s="6">
        <v>37</v>
      </c>
      <c r="E39" s="9" t="s">
        <v>43</v>
      </c>
      <c r="F39" s="46">
        <v>14994.25</v>
      </c>
      <c r="G39" s="13">
        <v>0</v>
      </c>
      <c r="H39" s="5">
        <f>F39*G39*(1-'1. Dados do Projeto'!$B$8)*(1-'1. Dados do Projeto'!$C$8)</f>
        <v>0</v>
      </c>
    </row>
    <row r="40" spans="1:8" x14ac:dyDescent="0.25">
      <c r="A40" s="1" t="str">
        <f t="shared" si="0"/>
        <v>x</v>
      </c>
      <c r="B40" s="6" t="s">
        <v>1</v>
      </c>
      <c r="C40" s="6" t="s">
        <v>33</v>
      </c>
      <c r="D40" s="6">
        <v>38</v>
      </c>
      <c r="E40" s="9" t="s">
        <v>44</v>
      </c>
      <c r="F40" s="46">
        <v>16620.099999999999</v>
      </c>
      <c r="G40" s="13">
        <v>0</v>
      </c>
      <c r="H40" s="5">
        <f>F40*G40*(1-'1. Dados do Projeto'!$B$8)*(1-'1. Dados do Projeto'!$C$8)</f>
        <v>0</v>
      </c>
    </row>
    <row r="41" spans="1:8" x14ac:dyDescent="0.25">
      <c r="A41" s="1" t="str">
        <f t="shared" si="0"/>
        <v>x</v>
      </c>
      <c r="B41" s="6" t="s">
        <v>1</v>
      </c>
      <c r="C41" s="6" t="s">
        <v>33</v>
      </c>
      <c r="D41" s="6">
        <v>39</v>
      </c>
      <c r="E41" s="9" t="s">
        <v>45</v>
      </c>
      <c r="F41" s="46">
        <v>17975.050000000003</v>
      </c>
      <c r="G41" s="13">
        <v>0</v>
      </c>
      <c r="H41" s="5">
        <f>F41*G41*(1-'1. Dados do Projeto'!$B$8)*(1-'1. Dados do Projeto'!$C$8)</f>
        <v>0</v>
      </c>
    </row>
    <row r="42" spans="1:8" x14ac:dyDescent="0.25">
      <c r="A42" s="1" t="str">
        <f t="shared" si="0"/>
        <v>x</v>
      </c>
      <c r="B42" s="6" t="s">
        <v>1</v>
      </c>
      <c r="C42" s="6" t="s">
        <v>33</v>
      </c>
      <c r="D42" s="6">
        <v>40</v>
      </c>
      <c r="E42" s="9" t="s">
        <v>46</v>
      </c>
      <c r="F42" s="46">
        <v>21497.75</v>
      </c>
      <c r="G42" s="13">
        <v>0</v>
      </c>
      <c r="H42" s="5">
        <f>F42*G42*(1-'1. Dados do Projeto'!$B$8)*(1-'1. Dados do Projeto'!$C$8)</f>
        <v>0</v>
      </c>
    </row>
    <row r="43" spans="1:8" x14ac:dyDescent="0.25">
      <c r="A43" s="1" t="str">
        <f t="shared" si="0"/>
        <v>x</v>
      </c>
      <c r="B43" s="6" t="s">
        <v>1</v>
      </c>
      <c r="C43" s="6" t="s">
        <v>33</v>
      </c>
      <c r="D43" s="6">
        <v>41</v>
      </c>
      <c r="E43" s="9" t="s">
        <v>47</v>
      </c>
      <c r="F43" s="46">
        <v>22672</v>
      </c>
      <c r="G43" s="13">
        <v>0</v>
      </c>
      <c r="H43" s="5">
        <f>F43*G43*(1-'1. Dados do Projeto'!$B$8)*(1-'1. Dados do Projeto'!$C$8)</f>
        <v>0</v>
      </c>
    </row>
    <row r="44" spans="1:8" x14ac:dyDescent="0.25">
      <c r="A44" s="1" t="str">
        <f t="shared" si="0"/>
        <v>x</v>
      </c>
      <c r="B44" s="6" t="s">
        <v>1</v>
      </c>
      <c r="C44" s="6" t="s">
        <v>33</v>
      </c>
      <c r="D44" s="6">
        <v>42</v>
      </c>
      <c r="E44" s="9" t="s">
        <v>48</v>
      </c>
      <c r="F44" s="46">
        <v>23484.949999999997</v>
      </c>
      <c r="G44" s="13">
        <v>0</v>
      </c>
      <c r="H44" s="5">
        <f>F44*G44*(1-'1. Dados do Projeto'!$B$8)*(1-'1. Dados do Projeto'!$C$8)</f>
        <v>0</v>
      </c>
    </row>
    <row r="45" spans="1:8" x14ac:dyDescent="0.25">
      <c r="A45" s="1" t="str">
        <f t="shared" si="0"/>
        <v>x</v>
      </c>
      <c r="B45" s="6" t="s">
        <v>1</v>
      </c>
      <c r="C45" s="6" t="s">
        <v>33</v>
      </c>
      <c r="D45" s="6">
        <v>43</v>
      </c>
      <c r="E45" s="9" t="s">
        <v>49</v>
      </c>
      <c r="F45" s="46">
        <v>26736.7</v>
      </c>
      <c r="G45" s="13">
        <v>0</v>
      </c>
      <c r="H45" s="5">
        <f>F45*G45*(1-'1. Dados do Projeto'!$B$8)*(1-'1. Dados do Projeto'!$C$8)</f>
        <v>0</v>
      </c>
    </row>
    <row r="46" spans="1:8" x14ac:dyDescent="0.25">
      <c r="A46" s="1" t="str">
        <f t="shared" si="0"/>
        <v>x</v>
      </c>
      <c r="B46" s="6" t="s">
        <v>1</v>
      </c>
      <c r="C46" s="6" t="s">
        <v>33</v>
      </c>
      <c r="D46" s="6">
        <v>44</v>
      </c>
      <c r="E46" s="9" t="s">
        <v>50</v>
      </c>
      <c r="F46" s="46">
        <v>28904.6</v>
      </c>
      <c r="G46" s="13">
        <v>0</v>
      </c>
      <c r="H46" s="5">
        <f>F46*G46*(1-'1. Dados do Projeto'!$B$8)*(1-'1. Dados do Projeto'!$C$8)</f>
        <v>0</v>
      </c>
    </row>
    <row r="47" spans="1:8" x14ac:dyDescent="0.25">
      <c r="A47" s="1" t="str">
        <f t="shared" si="0"/>
        <v>x</v>
      </c>
      <c r="B47" s="6" t="s">
        <v>1</v>
      </c>
      <c r="C47" s="6" t="s">
        <v>33</v>
      </c>
      <c r="D47" s="6">
        <v>45</v>
      </c>
      <c r="E47" s="9" t="s">
        <v>51</v>
      </c>
      <c r="F47" s="46">
        <v>31072.399999999998</v>
      </c>
      <c r="G47" s="13">
        <v>0</v>
      </c>
      <c r="H47" s="5">
        <f>F47*G47*(1-'1. Dados do Projeto'!$B$8)*(1-'1. Dados do Projeto'!$C$8)</f>
        <v>0</v>
      </c>
    </row>
    <row r="48" spans="1:8" x14ac:dyDescent="0.25">
      <c r="A48" s="1" t="str">
        <f t="shared" si="0"/>
        <v>x</v>
      </c>
      <c r="B48" s="6" t="s">
        <v>1</v>
      </c>
      <c r="C48" s="6" t="s">
        <v>33</v>
      </c>
      <c r="D48" s="6">
        <v>46</v>
      </c>
      <c r="E48" s="9" t="s">
        <v>52</v>
      </c>
      <c r="F48" s="46">
        <v>34143.550000000003</v>
      </c>
      <c r="G48" s="13">
        <v>0</v>
      </c>
      <c r="H48" s="5">
        <f>F48*G48*(1-'1. Dados do Projeto'!$B$8)*(1-'1. Dados do Projeto'!$C$8)</f>
        <v>0</v>
      </c>
    </row>
    <row r="49" spans="1:8" x14ac:dyDescent="0.25">
      <c r="A49" s="1" t="str">
        <f t="shared" si="0"/>
        <v>x</v>
      </c>
      <c r="B49" s="6" t="s">
        <v>1</v>
      </c>
      <c r="C49" s="6" t="s">
        <v>33</v>
      </c>
      <c r="D49" s="6">
        <v>47</v>
      </c>
      <c r="E49" s="9" t="s">
        <v>53</v>
      </c>
      <c r="F49" s="46">
        <v>36017.399999999994</v>
      </c>
      <c r="G49" s="13">
        <v>0</v>
      </c>
      <c r="H49" s="5">
        <f>F49*G49*(1-'1. Dados do Projeto'!$B$8)*(1-'1. Dados do Projeto'!$C$8)</f>
        <v>0</v>
      </c>
    </row>
    <row r="50" spans="1:8" x14ac:dyDescent="0.25">
      <c r="A50" s="1" t="str">
        <f t="shared" si="0"/>
        <v>x</v>
      </c>
      <c r="B50" s="6" t="s">
        <v>54</v>
      </c>
      <c r="C50" s="6" t="s">
        <v>55</v>
      </c>
      <c r="D50" s="6">
        <v>48</v>
      </c>
      <c r="E50" s="9" t="s">
        <v>56</v>
      </c>
      <c r="F50" s="46">
        <v>1915.65</v>
      </c>
      <c r="G50" s="13">
        <v>0</v>
      </c>
      <c r="H50" s="5">
        <f>F50*G50*(1-'1. Dados do Projeto'!$B$8)*(1-'1. Dados do Projeto'!$C$8)</f>
        <v>0</v>
      </c>
    </row>
    <row r="51" spans="1:8" x14ac:dyDescent="0.25">
      <c r="A51" s="1" t="str">
        <f t="shared" si="0"/>
        <v>x</v>
      </c>
      <c r="B51" s="6" t="s">
        <v>54</v>
      </c>
      <c r="C51" s="6" t="s">
        <v>55</v>
      </c>
      <c r="D51" s="6">
        <v>49</v>
      </c>
      <c r="E51" s="9" t="s">
        <v>57</v>
      </c>
      <c r="F51" s="46">
        <v>2387.1999999999998</v>
      </c>
      <c r="G51" s="13">
        <v>1</v>
      </c>
      <c r="H51" s="5">
        <f>F51*G51*(1-'1. Dados do Projeto'!$B$8)*(1-'1. Dados do Projeto'!$C$8)</f>
        <v>1456.25156522511</v>
      </c>
    </row>
    <row r="52" spans="1:8" x14ac:dyDescent="0.25">
      <c r="A52" s="1" t="str">
        <f t="shared" si="0"/>
        <v>x</v>
      </c>
      <c r="B52" s="6" t="s">
        <v>54</v>
      </c>
      <c r="C52" s="6" t="s">
        <v>55</v>
      </c>
      <c r="D52" s="6">
        <v>50</v>
      </c>
      <c r="E52" s="9" t="s">
        <v>58</v>
      </c>
      <c r="F52" s="46">
        <v>3241.9</v>
      </c>
      <c r="G52" s="13">
        <v>0</v>
      </c>
      <c r="H52" s="5">
        <f>F52*G52*(1-'1. Dados do Projeto'!$B$8)*(1-'1. Dados do Projeto'!$C$8)</f>
        <v>0</v>
      </c>
    </row>
    <row r="53" spans="1:8" x14ac:dyDescent="0.25">
      <c r="A53" s="1" t="str">
        <f t="shared" si="0"/>
        <v>x</v>
      </c>
      <c r="B53" s="6" t="s">
        <v>54</v>
      </c>
      <c r="C53" s="6" t="s">
        <v>55</v>
      </c>
      <c r="D53" s="6">
        <v>51</v>
      </c>
      <c r="E53" s="9" t="s">
        <v>59</v>
      </c>
      <c r="F53" s="46">
        <v>3683.95</v>
      </c>
      <c r="G53" s="13">
        <v>0</v>
      </c>
      <c r="H53" s="5">
        <f>F53*G53*(1-'1. Dados do Projeto'!$B$8)*(1-'1. Dados do Projeto'!$C$8)</f>
        <v>0</v>
      </c>
    </row>
    <row r="54" spans="1:8" x14ac:dyDescent="0.25">
      <c r="A54" s="1" t="str">
        <f t="shared" si="0"/>
        <v>x</v>
      </c>
      <c r="B54" s="6" t="s">
        <v>54</v>
      </c>
      <c r="C54" s="6" t="s">
        <v>55</v>
      </c>
      <c r="D54" s="6">
        <v>52</v>
      </c>
      <c r="E54" s="9" t="s">
        <v>60</v>
      </c>
      <c r="F54" s="46">
        <v>4420.75</v>
      </c>
      <c r="G54" s="13">
        <v>0</v>
      </c>
      <c r="H54" s="5">
        <f>F54*G54*(1-'1. Dados do Projeto'!$B$8)*(1-'1. Dados do Projeto'!$C$8)</f>
        <v>0</v>
      </c>
    </row>
    <row r="55" spans="1:8" x14ac:dyDescent="0.25">
      <c r="A55" s="1" t="str">
        <f t="shared" si="0"/>
        <v>x</v>
      </c>
      <c r="B55" s="6" t="s">
        <v>54</v>
      </c>
      <c r="C55" s="6" t="s">
        <v>55</v>
      </c>
      <c r="D55" s="6">
        <v>53</v>
      </c>
      <c r="E55" s="9" t="s">
        <v>61</v>
      </c>
      <c r="F55" s="46">
        <v>7073.1500000000005</v>
      </c>
      <c r="G55" s="13">
        <v>0</v>
      </c>
      <c r="H55" s="5">
        <f>F55*G55*(1-'1. Dados do Projeto'!$B$8)*(1-'1. Dados do Projeto'!$C$8)</f>
        <v>0</v>
      </c>
    </row>
    <row r="56" spans="1:8" x14ac:dyDescent="0.25">
      <c r="A56" s="1" t="str">
        <f t="shared" si="0"/>
        <v>x</v>
      </c>
      <c r="B56" s="6" t="s">
        <v>54</v>
      </c>
      <c r="C56" s="6" t="s">
        <v>55</v>
      </c>
      <c r="D56" s="6">
        <v>54</v>
      </c>
      <c r="E56" s="9" t="s">
        <v>62</v>
      </c>
      <c r="F56" s="46">
        <v>1709.35</v>
      </c>
      <c r="G56" s="13">
        <v>0</v>
      </c>
      <c r="H56" s="5">
        <f>F56*G56*(1-'1. Dados do Projeto'!$B$8)*(1-'1. Dados do Projeto'!$C$8)</f>
        <v>0</v>
      </c>
    </row>
    <row r="57" spans="1:8" x14ac:dyDescent="0.25">
      <c r="A57" s="1" t="str">
        <f t="shared" si="0"/>
        <v>x</v>
      </c>
      <c r="B57" s="6" t="s">
        <v>1</v>
      </c>
      <c r="C57" s="6" t="s">
        <v>63</v>
      </c>
      <c r="D57" s="6">
        <v>55</v>
      </c>
      <c r="E57" s="9" t="s">
        <v>64</v>
      </c>
      <c r="F57" s="46">
        <v>4516.3500000000004</v>
      </c>
      <c r="G57" s="13">
        <v>0</v>
      </c>
      <c r="H57" s="5">
        <f>F57*G57*(1-'1. Dados do Projeto'!$B$8)*(1-'1. Dados do Projeto'!$C$8)</f>
        <v>0</v>
      </c>
    </row>
    <row r="58" spans="1:8" x14ac:dyDescent="0.25">
      <c r="A58" s="1" t="str">
        <f t="shared" si="0"/>
        <v>x</v>
      </c>
      <c r="B58" s="6" t="s">
        <v>1</v>
      </c>
      <c r="C58" s="6" t="s">
        <v>63</v>
      </c>
      <c r="D58" s="6">
        <v>56</v>
      </c>
      <c r="E58" s="9" t="s">
        <v>65</v>
      </c>
      <c r="F58" s="46">
        <v>5600.25</v>
      </c>
      <c r="G58" s="13">
        <v>0</v>
      </c>
      <c r="H58" s="5">
        <f>F58*G58*(1-'1. Dados do Projeto'!$B$8)*(1-'1. Dados do Projeto'!$C$8)</f>
        <v>0</v>
      </c>
    </row>
    <row r="59" spans="1:8" x14ac:dyDescent="0.25">
      <c r="A59" s="1" t="str">
        <f t="shared" si="0"/>
        <v>x</v>
      </c>
      <c r="B59" s="6" t="s">
        <v>1</v>
      </c>
      <c r="C59" s="6" t="s">
        <v>63</v>
      </c>
      <c r="D59" s="6">
        <v>57</v>
      </c>
      <c r="E59" s="9" t="s">
        <v>66</v>
      </c>
      <c r="F59" s="46">
        <v>11561.849999999999</v>
      </c>
      <c r="G59" s="13">
        <v>0</v>
      </c>
      <c r="H59" s="5">
        <f>F59*G59*(1-'1. Dados do Projeto'!$B$8)*(1-'1. Dados do Projeto'!$C$8)</f>
        <v>0</v>
      </c>
    </row>
    <row r="60" spans="1:8" x14ac:dyDescent="0.25">
      <c r="A60" s="1" t="str">
        <f t="shared" si="0"/>
        <v>x</v>
      </c>
      <c r="B60" s="6" t="s">
        <v>1</v>
      </c>
      <c r="C60" s="6" t="s">
        <v>63</v>
      </c>
      <c r="D60" s="6">
        <v>58</v>
      </c>
      <c r="E60" s="9" t="s">
        <v>67</v>
      </c>
      <c r="F60" s="46">
        <v>13549.05</v>
      </c>
      <c r="G60" s="13">
        <v>0</v>
      </c>
      <c r="H60" s="5">
        <f>F60*G60*(1-'1. Dados do Projeto'!$B$8)*(1-'1. Dados do Projeto'!$C$8)</f>
        <v>0</v>
      </c>
    </row>
    <row r="61" spans="1:8" x14ac:dyDescent="0.25">
      <c r="A61" s="1" t="str">
        <f t="shared" si="0"/>
        <v>x</v>
      </c>
      <c r="B61" s="6" t="s">
        <v>1</v>
      </c>
      <c r="C61" s="6" t="s">
        <v>63</v>
      </c>
      <c r="D61" s="6">
        <v>59</v>
      </c>
      <c r="E61" s="9" t="s">
        <v>68</v>
      </c>
      <c r="F61" s="46">
        <v>14361.949999999999</v>
      </c>
      <c r="G61" s="13">
        <v>0</v>
      </c>
      <c r="H61" s="5">
        <f>F61*G61*(1-'1. Dados do Projeto'!$B$8)*(1-'1. Dados do Projeto'!$C$8)</f>
        <v>0</v>
      </c>
    </row>
    <row r="62" spans="1:8" x14ac:dyDescent="0.25">
      <c r="A62" s="1" t="str">
        <f t="shared" si="0"/>
        <v>x</v>
      </c>
      <c r="B62" s="6" t="s">
        <v>1</v>
      </c>
      <c r="C62" s="6" t="s">
        <v>63</v>
      </c>
      <c r="D62" s="6">
        <v>60</v>
      </c>
      <c r="E62" s="9" t="s">
        <v>69</v>
      </c>
      <c r="F62" s="46">
        <v>16439.45</v>
      </c>
      <c r="G62" s="13">
        <v>0</v>
      </c>
      <c r="H62" s="5">
        <f>F62*G62*(1-'1. Dados do Projeto'!$B$8)*(1-'1. Dados do Projeto'!$C$8)</f>
        <v>0</v>
      </c>
    </row>
    <row r="63" spans="1:8" x14ac:dyDescent="0.25">
      <c r="A63" s="1" t="str">
        <f t="shared" si="0"/>
        <v>x</v>
      </c>
      <c r="B63" s="6" t="s">
        <v>1</v>
      </c>
      <c r="C63" s="6" t="s">
        <v>63</v>
      </c>
      <c r="D63" s="6">
        <v>61</v>
      </c>
      <c r="E63" s="9" t="s">
        <v>70</v>
      </c>
      <c r="F63" s="46">
        <v>19510.599999999999</v>
      </c>
      <c r="G63" s="13">
        <v>0</v>
      </c>
      <c r="H63" s="5">
        <f>F63*G63*(1-'1. Dados do Projeto'!$B$8)*(1-'1. Dados do Projeto'!$C$8)</f>
        <v>0</v>
      </c>
    </row>
    <row r="64" spans="1:8" x14ac:dyDescent="0.25">
      <c r="A64" s="1" t="str">
        <f t="shared" si="0"/>
        <v>x</v>
      </c>
      <c r="B64" s="6" t="s">
        <v>1</v>
      </c>
      <c r="C64" s="6" t="s">
        <v>63</v>
      </c>
      <c r="D64" s="6">
        <v>62</v>
      </c>
      <c r="E64" s="9" t="s">
        <v>71</v>
      </c>
      <c r="F64" s="46">
        <v>22401.05</v>
      </c>
      <c r="G64" s="13">
        <v>0</v>
      </c>
      <c r="H64" s="5">
        <f>F64*G64*(1-'1. Dados do Projeto'!$B$8)*(1-'1. Dados do Projeto'!$C$8)</f>
        <v>0</v>
      </c>
    </row>
    <row r="65" spans="1:8" x14ac:dyDescent="0.25">
      <c r="A65" s="1" t="str">
        <f t="shared" si="0"/>
        <v>x</v>
      </c>
      <c r="B65" s="6" t="s">
        <v>1</v>
      </c>
      <c r="C65" s="6" t="s">
        <v>63</v>
      </c>
      <c r="D65" s="6">
        <v>63</v>
      </c>
      <c r="E65" s="9" t="s">
        <v>72</v>
      </c>
      <c r="F65" s="46">
        <v>25761.25</v>
      </c>
      <c r="G65" s="13">
        <v>0</v>
      </c>
      <c r="H65" s="5">
        <f>F65*G65*(1-'1. Dados do Projeto'!$B$8)*(1-'1. Dados do Projeto'!$C$8)</f>
        <v>0</v>
      </c>
    </row>
    <row r="66" spans="1:8" x14ac:dyDescent="0.25">
      <c r="A66" s="1" t="str">
        <f t="shared" si="0"/>
        <v>x</v>
      </c>
      <c r="B66" s="6" t="s">
        <v>1</v>
      </c>
      <c r="C66" s="6" t="s">
        <v>63</v>
      </c>
      <c r="D66" s="6">
        <v>64</v>
      </c>
      <c r="E66" s="9" t="s">
        <v>73</v>
      </c>
      <c r="F66" s="46">
        <v>29625.4</v>
      </c>
      <c r="G66" s="13">
        <v>0</v>
      </c>
      <c r="H66" s="5">
        <f>F66*G66*(1-'1. Dados do Projeto'!$B$8)*(1-'1. Dados do Projeto'!$C$8)</f>
        <v>0</v>
      </c>
    </row>
    <row r="67" spans="1:8" x14ac:dyDescent="0.25">
      <c r="A67" s="1" t="str">
        <f t="shared" si="0"/>
        <v>x</v>
      </c>
      <c r="B67" s="6" t="s">
        <v>74</v>
      </c>
      <c r="C67" s="6" t="s">
        <v>75</v>
      </c>
      <c r="D67" s="6">
        <v>65</v>
      </c>
      <c r="E67" s="9" t="s">
        <v>76</v>
      </c>
      <c r="F67" s="46">
        <v>2540.5</v>
      </c>
      <c r="G67" s="13">
        <v>0</v>
      </c>
      <c r="H67" s="5">
        <f>F67*G67*(1-'1. Dados do Projeto'!$B$8)*(1-'1. Dados do Projeto'!$C$8)</f>
        <v>0</v>
      </c>
    </row>
    <row r="68" spans="1:8" x14ac:dyDescent="0.25">
      <c r="A68" s="1" t="str">
        <f t="shared" ref="A68:A131" si="1">IF(LEFT(E68,8) = "Vistoria", "x", "")</f>
        <v>x</v>
      </c>
      <c r="B68" s="6" t="s">
        <v>74</v>
      </c>
      <c r="C68" s="6" t="s">
        <v>75</v>
      </c>
      <c r="D68" s="6">
        <v>66</v>
      </c>
      <c r="E68" s="9" t="s">
        <v>77</v>
      </c>
      <c r="F68" s="46">
        <v>4330.8</v>
      </c>
      <c r="G68" s="13">
        <v>0</v>
      </c>
      <c r="H68" s="5">
        <f>F68*G68*(1-'1. Dados do Projeto'!$B$8)*(1-'1. Dados do Projeto'!$C$8)</f>
        <v>0</v>
      </c>
    </row>
    <row r="69" spans="1:8" x14ac:dyDescent="0.25">
      <c r="A69" s="1" t="str">
        <f t="shared" si="1"/>
        <v>x</v>
      </c>
      <c r="B69" s="6" t="s">
        <v>74</v>
      </c>
      <c r="C69" s="6" t="s">
        <v>75</v>
      </c>
      <c r="D69" s="6">
        <v>67</v>
      </c>
      <c r="E69" s="9" t="s">
        <v>78</v>
      </c>
      <c r="F69" s="46">
        <v>6445</v>
      </c>
      <c r="G69" s="13">
        <v>0</v>
      </c>
      <c r="H69" s="5">
        <f>F69*G69*(1-'1. Dados do Projeto'!$B$8)*(1-'1. Dados do Projeto'!$C$8)</f>
        <v>0</v>
      </c>
    </row>
    <row r="70" spans="1:8" x14ac:dyDescent="0.25">
      <c r="A70" s="1" t="str">
        <f t="shared" si="1"/>
        <v>x</v>
      </c>
      <c r="B70" s="6" t="s">
        <v>74</v>
      </c>
      <c r="C70" s="6" t="s">
        <v>75</v>
      </c>
      <c r="D70" s="6">
        <v>68</v>
      </c>
      <c r="E70" s="9" t="s">
        <v>79</v>
      </c>
      <c r="F70" s="46">
        <v>9810.8000000000011</v>
      </c>
      <c r="G70" s="13">
        <v>0</v>
      </c>
      <c r="H70" s="5">
        <f>F70*G70*(1-'1. Dados do Projeto'!$B$8)*(1-'1. Dados do Projeto'!$C$8)</f>
        <v>0</v>
      </c>
    </row>
    <row r="71" spans="1:8" x14ac:dyDescent="0.25">
      <c r="A71" s="1" t="str">
        <f t="shared" si="1"/>
        <v>x</v>
      </c>
      <c r="B71" s="6" t="s">
        <v>74</v>
      </c>
      <c r="C71" s="6" t="s">
        <v>75</v>
      </c>
      <c r="D71" s="6">
        <v>69</v>
      </c>
      <c r="E71" s="9" t="s">
        <v>80</v>
      </c>
      <c r="F71" s="46">
        <v>12754.25</v>
      </c>
      <c r="G71" s="13">
        <v>0</v>
      </c>
      <c r="H71" s="5">
        <f>F71*G71*(1-'1. Dados do Projeto'!$B$8)*(1-'1. Dados do Projeto'!$C$8)</f>
        <v>0</v>
      </c>
    </row>
    <row r="72" spans="1:8" x14ac:dyDescent="0.25">
      <c r="A72" s="1" t="str">
        <f t="shared" si="1"/>
        <v>x</v>
      </c>
      <c r="B72" s="6" t="s">
        <v>74</v>
      </c>
      <c r="C72" s="6" t="s">
        <v>75</v>
      </c>
      <c r="D72" s="6">
        <v>70</v>
      </c>
      <c r="E72" s="9" t="s">
        <v>81</v>
      </c>
      <c r="F72" s="46">
        <v>4629.0499999999993</v>
      </c>
      <c r="G72" s="13">
        <v>0</v>
      </c>
      <c r="H72" s="5">
        <f>F72*G72*(1-'1. Dados do Projeto'!$B$8)*(1-'1. Dados do Projeto'!$C$8)</f>
        <v>0</v>
      </c>
    </row>
    <row r="73" spans="1:8" x14ac:dyDescent="0.25">
      <c r="A73" s="1" t="str">
        <f t="shared" si="1"/>
        <v>x</v>
      </c>
      <c r="B73" s="6" t="s">
        <v>74</v>
      </c>
      <c r="C73" s="6" t="s">
        <v>75</v>
      </c>
      <c r="D73" s="6">
        <v>71</v>
      </c>
      <c r="E73" s="9" t="s">
        <v>82</v>
      </c>
      <c r="F73" s="46">
        <v>5417.3</v>
      </c>
      <c r="G73" s="13">
        <v>2</v>
      </c>
      <c r="H73" s="5">
        <f>F73*G73*(1-'1. Dados do Projeto'!$B$8)*(1-'1. Dados do Projeto'!$C$8)</f>
        <v>6609.3763440800858</v>
      </c>
    </row>
    <row r="74" spans="1:8" x14ac:dyDescent="0.25">
      <c r="A74" s="1" t="str">
        <f t="shared" si="1"/>
        <v>x</v>
      </c>
      <c r="B74" s="6" t="s">
        <v>74</v>
      </c>
      <c r="C74" s="6" t="s">
        <v>75</v>
      </c>
      <c r="D74" s="6">
        <v>72</v>
      </c>
      <c r="E74" s="9" t="s">
        <v>83</v>
      </c>
      <c r="F74" s="46">
        <v>10312.049999999999</v>
      </c>
      <c r="G74" s="13">
        <v>0</v>
      </c>
      <c r="H74" s="5">
        <f>F74*G74*(1-'1. Dados do Projeto'!$B$8)*(1-'1. Dados do Projeto'!$C$8)</f>
        <v>0</v>
      </c>
    </row>
    <row r="75" spans="1:8" x14ac:dyDescent="0.25">
      <c r="A75" s="1" t="str">
        <f t="shared" si="1"/>
        <v>x</v>
      </c>
      <c r="B75" s="6" t="s">
        <v>74</v>
      </c>
      <c r="C75" s="6" t="s">
        <v>75</v>
      </c>
      <c r="D75" s="6">
        <v>73</v>
      </c>
      <c r="E75" s="9" t="s">
        <v>84</v>
      </c>
      <c r="F75" s="46">
        <v>15519.7</v>
      </c>
      <c r="G75" s="13">
        <v>0</v>
      </c>
      <c r="H75" s="5">
        <f>F75*G75*(1-'1. Dados do Projeto'!$B$8)*(1-'1. Dados do Projeto'!$C$8)</f>
        <v>0</v>
      </c>
    </row>
    <row r="76" spans="1:8" x14ac:dyDescent="0.25">
      <c r="A76" s="1" t="str">
        <f t="shared" si="1"/>
        <v>x</v>
      </c>
      <c r="B76" s="6" t="s">
        <v>74</v>
      </c>
      <c r="C76" s="6" t="s">
        <v>75</v>
      </c>
      <c r="D76" s="6">
        <v>74</v>
      </c>
      <c r="E76" s="9" t="s">
        <v>85</v>
      </c>
      <c r="F76" s="46">
        <v>23913.449999999997</v>
      </c>
      <c r="G76" s="13">
        <v>0</v>
      </c>
      <c r="H76" s="5">
        <f>F76*G76*(1-'1. Dados do Projeto'!$B$8)*(1-'1. Dados do Projeto'!$C$8)</f>
        <v>0</v>
      </c>
    </row>
    <row r="77" spans="1:8" x14ac:dyDescent="0.25">
      <c r="A77" s="1" t="str">
        <f t="shared" si="1"/>
        <v>x</v>
      </c>
      <c r="B77" s="6" t="s">
        <v>74</v>
      </c>
      <c r="C77" s="6" t="s">
        <v>75</v>
      </c>
      <c r="D77" s="6">
        <v>75</v>
      </c>
      <c r="E77" s="9" t="s">
        <v>86</v>
      </c>
      <c r="F77" s="46">
        <v>25753</v>
      </c>
      <c r="G77" s="13">
        <v>0</v>
      </c>
      <c r="H77" s="5">
        <f>F77*G77*(1-'1. Dados do Projeto'!$B$8)*(1-'1. Dados do Projeto'!$C$8)</f>
        <v>0</v>
      </c>
    </row>
    <row r="78" spans="1:8" x14ac:dyDescent="0.25">
      <c r="A78" s="1" t="str">
        <f t="shared" si="1"/>
        <v>x</v>
      </c>
      <c r="B78" s="6" t="s">
        <v>74</v>
      </c>
      <c r="C78" s="6" t="s">
        <v>75</v>
      </c>
      <c r="D78" s="6">
        <v>76</v>
      </c>
      <c r="E78" s="9" t="s">
        <v>87</v>
      </c>
      <c r="F78" s="46">
        <v>29432</v>
      </c>
      <c r="G78" s="13">
        <v>0</v>
      </c>
      <c r="H78" s="5">
        <f>F78*G78*(1-'1. Dados do Projeto'!$B$8)*(1-'1. Dados do Projeto'!$C$8)</f>
        <v>0</v>
      </c>
    </row>
    <row r="79" spans="1:8" x14ac:dyDescent="0.25">
      <c r="A79" s="1" t="str">
        <f t="shared" si="1"/>
        <v>x</v>
      </c>
      <c r="B79" s="6" t="s">
        <v>74</v>
      </c>
      <c r="C79" s="6" t="s">
        <v>75</v>
      </c>
      <c r="D79" s="6">
        <v>77</v>
      </c>
      <c r="E79" s="9" t="s">
        <v>88</v>
      </c>
      <c r="F79" s="46">
        <v>33110.949999999997</v>
      </c>
      <c r="G79" s="13">
        <v>1</v>
      </c>
      <c r="H79" s="5">
        <f>F79*G79*(1-'1. Dados do Projeto'!$B$8)*(1-'1. Dados do Projeto'!$C$8)</f>
        <v>20198.505681798913</v>
      </c>
    </row>
    <row r="80" spans="1:8" x14ac:dyDescent="0.25">
      <c r="A80" s="1" t="str">
        <f t="shared" si="1"/>
        <v>x</v>
      </c>
      <c r="B80" s="6" t="s">
        <v>74</v>
      </c>
      <c r="C80" s="6" t="s">
        <v>75</v>
      </c>
      <c r="D80" s="6">
        <v>78</v>
      </c>
      <c r="E80" s="9" t="s">
        <v>89</v>
      </c>
      <c r="F80" s="46">
        <v>36790</v>
      </c>
      <c r="G80" s="13">
        <v>0</v>
      </c>
      <c r="H80" s="5">
        <f>F80*G80*(1-'1. Dados do Projeto'!$B$8)*(1-'1. Dados do Projeto'!$C$8)</f>
        <v>0</v>
      </c>
    </row>
    <row r="81" spans="1:8" x14ac:dyDescent="0.25">
      <c r="A81" s="1" t="str">
        <f t="shared" si="1"/>
        <v>x</v>
      </c>
      <c r="B81" s="6" t="s">
        <v>74</v>
      </c>
      <c r="C81" s="6" t="s">
        <v>90</v>
      </c>
      <c r="D81" s="6">
        <v>79</v>
      </c>
      <c r="E81" s="9" t="s">
        <v>91</v>
      </c>
      <c r="F81" s="46">
        <v>9810.2999999999993</v>
      </c>
      <c r="G81" s="13">
        <v>0</v>
      </c>
      <c r="H81" s="5">
        <f>F81*G81*(1-'1. Dados do Projeto'!$B$8)*(1-'1. Dados do Projeto'!$C$8)</f>
        <v>0</v>
      </c>
    </row>
    <row r="82" spans="1:8" x14ac:dyDescent="0.25">
      <c r="A82" s="1" t="str">
        <f t="shared" si="1"/>
        <v>x</v>
      </c>
      <c r="B82" s="6" t="s">
        <v>74</v>
      </c>
      <c r="C82" s="6" t="s">
        <v>90</v>
      </c>
      <c r="D82" s="6">
        <v>80</v>
      </c>
      <c r="E82" s="9" t="s">
        <v>92</v>
      </c>
      <c r="F82" s="46">
        <v>12753.75</v>
      </c>
      <c r="G82" s="13">
        <v>0</v>
      </c>
      <c r="H82" s="5">
        <f>F82*G82*(1-'1. Dados do Projeto'!$B$8)*(1-'1. Dados do Projeto'!$C$8)</f>
        <v>0</v>
      </c>
    </row>
    <row r="83" spans="1:8" x14ac:dyDescent="0.25">
      <c r="A83" s="1" t="str">
        <f t="shared" si="1"/>
        <v>x</v>
      </c>
      <c r="B83" s="6" t="s">
        <v>74</v>
      </c>
      <c r="C83" s="6" t="s">
        <v>90</v>
      </c>
      <c r="D83" s="6">
        <v>81</v>
      </c>
      <c r="E83" s="9" t="s">
        <v>93</v>
      </c>
      <c r="F83" s="46">
        <v>19620.599999999999</v>
      </c>
      <c r="G83" s="13">
        <v>0</v>
      </c>
      <c r="H83" s="5">
        <f>F83*G83*(1-'1. Dados do Projeto'!$B$8)*(1-'1. Dados do Projeto'!$C$8)</f>
        <v>0</v>
      </c>
    </row>
    <row r="84" spans="1:8" x14ac:dyDescent="0.25">
      <c r="A84" s="1" t="str">
        <f t="shared" si="1"/>
        <v>x</v>
      </c>
      <c r="B84" s="6" t="s">
        <v>74</v>
      </c>
      <c r="C84" s="6" t="s">
        <v>90</v>
      </c>
      <c r="D84" s="6">
        <v>82</v>
      </c>
      <c r="E84" s="9" t="s">
        <v>94</v>
      </c>
      <c r="F84" s="46">
        <v>25507.550000000003</v>
      </c>
      <c r="G84" s="13">
        <v>0</v>
      </c>
      <c r="H84" s="5">
        <f>F84*G84*(1-'1. Dados do Projeto'!$B$8)*(1-'1. Dados do Projeto'!$C$8)</f>
        <v>0</v>
      </c>
    </row>
    <row r="85" spans="1:8" x14ac:dyDescent="0.25">
      <c r="A85" s="1" t="str">
        <f t="shared" si="1"/>
        <v>x</v>
      </c>
      <c r="B85" s="6" t="s">
        <v>74</v>
      </c>
      <c r="C85" s="6" t="s">
        <v>90</v>
      </c>
      <c r="D85" s="6">
        <v>83</v>
      </c>
      <c r="E85" s="9" t="s">
        <v>95</v>
      </c>
      <c r="F85" s="46">
        <v>38261.25</v>
      </c>
      <c r="G85" s="13">
        <v>0</v>
      </c>
      <c r="H85" s="5">
        <f>F85*G85*(1-'1. Dados do Projeto'!$B$8)*(1-'1. Dados do Projeto'!$C$8)</f>
        <v>0</v>
      </c>
    </row>
    <row r="86" spans="1:8" x14ac:dyDescent="0.25">
      <c r="A86" s="1" t="str">
        <f t="shared" si="1"/>
        <v>x</v>
      </c>
      <c r="B86" s="6" t="s">
        <v>74</v>
      </c>
      <c r="C86" s="6" t="s">
        <v>90</v>
      </c>
      <c r="D86" s="6">
        <v>84</v>
      </c>
      <c r="E86" s="9" t="s">
        <v>96</v>
      </c>
      <c r="F86" s="46">
        <v>51015.05</v>
      </c>
      <c r="G86" s="13">
        <v>0</v>
      </c>
      <c r="H86" s="5">
        <f>F86*G86*(1-'1. Dados do Projeto'!$B$8)*(1-'1. Dados do Projeto'!$C$8)</f>
        <v>0</v>
      </c>
    </row>
    <row r="87" spans="1:8" x14ac:dyDescent="0.25">
      <c r="A87" s="1" t="str">
        <f t="shared" si="1"/>
        <v>x</v>
      </c>
      <c r="B87" s="6" t="s">
        <v>74</v>
      </c>
      <c r="C87" s="6" t="s">
        <v>90</v>
      </c>
      <c r="D87" s="6">
        <v>85</v>
      </c>
      <c r="E87" s="9" t="s">
        <v>97</v>
      </c>
      <c r="F87" s="46">
        <v>63768.800000000003</v>
      </c>
      <c r="G87" s="13">
        <v>0</v>
      </c>
      <c r="H87" s="5">
        <f>F87*G87*(1-'1. Dados do Projeto'!$B$8)*(1-'1. Dados do Projeto'!$C$8)</f>
        <v>0</v>
      </c>
    </row>
    <row r="88" spans="1:8" x14ac:dyDescent="0.25">
      <c r="A88" s="1" t="str">
        <f t="shared" si="1"/>
        <v>x</v>
      </c>
      <c r="B88" s="6" t="s">
        <v>98</v>
      </c>
      <c r="C88" s="6" t="s">
        <v>99</v>
      </c>
      <c r="D88" s="6">
        <v>86</v>
      </c>
      <c r="E88" s="9" t="s">
        <v>100</v>
      </c>
      <c r="F88" s="46">
        <v>3432.4</v>
      </c>
      <c r="G88" s="13">
        <v>0</v>
      </c>
      <c r="H88" s="5">
        <f>F88*G88*(1-'1. Dados do Projeto'!$B$8)*(1-'1. Dados do Projeto'!$C$8)</f>
        <v>0</v>
      </c>
    </row>
    <row r="89" spans="1:8" x14ac:dyDescent="0.25">
      <c r="A89" s="1" t="str">
        <f t="shared" si="1"/>
        <v>x</v>
      </c>
      <c r="B89" s="6" t="s">
        <v>98</v>
      </c>
      <c r="C89" s="6" t="s">
        <v>99</v>
      </c>
      <c r="D89" s="6">
        <v>87</v>
      </c>
      <c r="E89" s="9" t="s">
        <v>101</v>
      </c>
      <c r="F89" s="46">
        <v>5780.9000000000005</v>
      </c>
      <c r="G89" s="13">
        <v>0</v>
      </c>
      <c r="H89" s="5">
        <f>F89*G89*(1-'1. Dados do Projeto'!$B$8)*(1-'1. Dados do Projeto'!$C$8)</f>
        <v>0</v>
      </c>
    </row>
    <row r="90" spans="1:8" x14ac:dyDescent="0.25">
      <c r="A90" s="1" t="str">
        <f t="shared" si="1"/>
        <v>x</v>
      </c>
      <c r="B90" s="6" t="s">
        <v>98</v>
      </c>
      <c r="C90" s="6" t="s">
        <v>99</v>
      </c>
      <c r="D90" s="6">
        <v>88</v>
      </c>
      <c r="E90" s="9" t="s">
        <v>102</v>
      </c>
      <c r="F90" s="46">
        <v>6684.2</v>
      </c>
      <c r="G90" s="13">
        <v>2</v>
      </c>
      <c r="H90" s="5">
        <f>F90*G90*(1-'1. Dados do Projeto'!$B$8)*(1-'1. Dados do Projeto'!$C$8)</f>
        <v>8155.057567256772</v>
      </c>
    </row>
    <row r="91" spans="1:8" x14ac:dyDescent="0.25">
      <c r="A91" s="1" t="str">
        <f t="shared" si="1"/>
        <v>x</v>
      </c>
      <c r="B91" s="6" t="s">
        <v>98</v>
      </c>
      <c r="C91" s="6" t="s">
        <v>99</v>
      </c>
      <c r="D91" s="6">
        <v>89</v>
      </c>
      <c r="E91" s="9" t="s">
        <v>103</v>
      </c>
      <c r="F91" s="46">
        <v>8310.0499999999993</v>
      </c>
      <c r="G91" s="13">
        <v>0</v>
      </c>
      <c r="H91" s="5">
        <f>F91*G91*(1-'1. Dados do Projeto'!$B$8)*(1-'1. Dados do Projeto'!$C$8)</f>
        <v>0</v>
      </c>
    </row>
    <row r="92" spans="1:8" x14ac:dyDescent="0.25">
      <c r="A92" s="1" t="str">
        <f t="shared" si="1"/>
        <v>x</v>
      </c>
      <c r="B92" s="6" t="s">
        <v>98</v>
      </c>
      <c r="C92" s="6" t="s">
        <v>99</v>
      </c>
      <c r="D92" s="6">
        <v>90</v>
      </c>
      <c r="E92" s="9" t="s">
        <v>104</v>
      </c>
      <c r="F92" s="46">
        <v>10297.25</v>
      </c>
      <c r="G92" s="13">
        <v>0</v>
      </c>
      <c r="H92" s="5">
        <f>F92*G92*(1-'1. Dados do Projeto'!$B$8)*(1-'1. Dados do Projeto'!$C$8)</f>
        <v>0</v>
      </c>
    </row>
    <row r="93" spans="1:8" x14ac:dyDescent="0.25">
      <c r="A93" s="1" t="str">
        <f t="shared" si="1"/>
        <v>x</v>
      </c>
      <c r="B93" s="6" t="s">
        <v>105</v>
      </c>
      <c r="C93" s="6" t="s">
        <v>106</v>
      </c>
      <c r="D93" s="6">
        <v>91</v>
      </c>
      <c r="E93" s="9" t="s">
        <v>107</v>
      </c>
      <c r="F93" s="46">
        <v>3974.4</v>
      </c>
      <c r="G93" s="13">
        <v>0</v>
      </c>
      <c r="H93" s="5">
        <f>F93*G93*(1-'1. Dados do Projeto'!$B$8)*(1-'1. Dados do Projeto'!$C$8)</f>
        <v>0</v>
      </c>
    </row>
    <row r="94" spans="1:8" x14ac:dyDescent="0.25">
      <c r="A94" s="1" t="str">
        <f t="shared" si="1"/>
        <v>x</v>
      </c>
      <c r="B94" s="6" t="s">
        <v>105</v>
      </c>
      <c r="C94" s="6" t="s">
        <v>106</v>
      </c>
      <c r="D94" s="6">
        <v>92</v>
      </c>
      <c r="E94" s="9" t="s">
        <v>108</v>
      </c>
      <c r="F94" s="46">
        <v>5238.95</v>
      </c>
      <c r="G94" s="13">
        <v>0</v>
      </c>
      <c r="H94" s="5">
        <f>F94*G94*(1-'1. Dados do Projeto'!$B$8)*(1-'1. Dados do Projeto'!$C$8)</f>
        <v>0</v>
      </c>
    </row>
    <row r="95" spans="1:8" x14ac:dyDescent="0.25">
      <c r="A95" s="1" t="str">
        <f t="shared" si="1"/>
        <v>x</v>
      </c>
      <c r="B95" s="6" t="s">
        <v>105</v>
      </c>
      <c r="C95" s="6" t="s">
        <v>106</v>
      </c>
      <c r="D95" s="6">
        <v>93</v>
      </c>
      <c r="E95" s="9" t="s">
        <v>109</v>
      </c>
      <c r="F95" s="46">
        <v>6684.2</v>
      </c>
      <c r="G95" s="13">
        <v>3</v>
      </c>
      <c r="H95" s="5">
        <f>F95*G95*(1-'1. Dados do Projeto'!$B$8)*(1-'1. Dados do Projeto'!$C$8)</f>
        <v>12232.586350885154</v>
      </c>
    </row>
    <row r="96" spans="1:8" x14ac:dyDescent="0.25">
      <c r="A96" s="1" t="str">
        <f t="shared" si="1"/>
        <v>x</v>
      </c>
      <c r="B96" s="6" t="s">
        <v>105</v>
      </c>
      <c r="C96" s="6" t="s">
        <v>106</v>
      </c>
      <c r="D96" s="6">
        <v>94</v>
      </c>
      <c r="E96" s="9" t="s">
        <v>110</v>
      </c>
      <c r="F96" s="46">
        <v>9032.65</v>
      </c>
      <c r="G96" s="13">
        <v>0</v>
      </c>
      <c r="H96" s="5">
        <f>F96*G96*(1-'1. Dados do Projeto'!$B$8)*(1-'1. Dados do Projeto'!$C$8)</f>
        <v>0</v>
      </c>
    </row>
    <row r="97" spans="1:8" x14ac:dyDescent="0.25">
      <c r="A97" s="1" t="str">
        <f t="shared" si="1"/>
        <v>x</v>
      </c>
      <c r="B97" s="6" t="s">
        <v>105</v>
      </c>
      <c r="C97" s="6" t="s">
        <v>106</v>
      </c>
      <c r="D97" s="6">
        <v>95</v>
      </c>
      <c r="E97" s="9" t="s">
        <v>111</v>
      </c>
      <c r="F97" s="46">
        <v>10297.25</v>
      </c>
      <c r="G97" s="13">
        <v>0</v>
      </c>
      <c r="H97" s="5">
        <f>F97*G97*(1-'1. Dados do Projeto'!$B$8)*(1-'1. Dados do Projeto'!$C$8)</f>
        <v>0</v>
      </c>
    </row>
    <row r="98" spans="1:8" x14ac:dyDescent="0.25">
      <c r="A98" s="1" t="str">
        <f t="shared" si="1"/>
        <v>x</v>
      </c>
      <c r="B98" s="6" t="s">
        <v>105</v>
      </c>
      <c r="C98" s="6" t="s">
        <v>106</v>
      </c>
      <c r="D98" s="6">
        <v>96</v>
      </c>
      <c r="E98" s="9" t="s">
        <v>112</v>
      </c>
      <c r="F98" s="46">
        <v>14813.599999999999</v>
      </c>
      <c r="G98" s="13">
        <v>0</v>
      </c>
      <c r="H98" s="5">
        <f>F98*G98*(1-'1. Dados do Projeto'!$B$8)*(1-'1. Dados do Projeto'!$C$8)</f>
        <v>0</v>
      </c>
    </row>
    <row r="99" spans="1:8" x14ac:dyDescent="0.25">
      <c r="A99" s="1" t="str">
        <f t="shared" si="1"/>
        <v>x</v>
      </c>
      <c r="B99" s="6" t="s">
        <v>113</v>
      </c>
      <c r="C99" s="6" t="s">
        <v>1</v>
      </c>
      <c r="D99" s="6">
        <v>97</v>
      </c>
      <c r="E99" s="9" t="s">
        <v>114</v>
      </c>
      <c r="F99" s="46">
        <v>4740</v>
      </c>
      <c r="G99" s="13">
        <v>0</v>
      </c>
      <c r="H99" s="5">
        <f>F99*G99*(1-'1. Dados do Projeto'!$B$8)*(1-'1. Dados do Projeto'!$C$8)</f>
        <v>0</v>
      </c>
    </row>
    <row r="100" spans="1:8" x14ac:dyDescent="0.25">
      <c r="A100" s="1" t="str">
        <f t="shared" si="1"/>
        <v>x</v>
      </c>
      <c r="B100" s="6" t="s">
        <v>113</v>
      </c>
      <c r="C100" s="6" t="s">
        <v>1</v>
      </c>
      <c r="D100" s="6">
        <v>98</v>
      </c>
      <c r="E100" s="9" t="s">
        <v>115</v>
      </c>
      <c r="F100" s="46">
        <v>5031.6500000000005</v>
      </c>
      <c r="G100" s="13">
        <v>0</v>
      </c>
      <c r="H100" s="5">
        <f>F100*G100*(1-'1. Dados do Projeto'!$B$8)*(1-'1. Dados do Projeto'!$C$8)</f>
        <v>0</v>
      </c>
    </row>
    <row r="101" spans="1:8" x14ac:dyDescent="0.25">
      <c r="A101" s="1" t="str">
        <f t="shared" si="1"/>
        <v/>
      </c>
      <c r="B101" s="6" t="s">
        <v>116</v>
      </c>
      <c r="C101" s="6" t="s">
        <v>117</v>
      </c>
      <c r="D101" s="6">
        <v>99</v>
      </c>
      <c r="E101" s="9" t="s">
        <v>118</v>
      </c>
      <c r="F101" s="46">
        <v>267.2</v>
      </c>
      <c r="G101" s="13">
        <v>0</v>
      </c>
      <c r="H101" s="5">
        <f>F101*G101*(1-'1. Dados do Projeto'!$B$8)*(1-'1. Dados do Projeto'!$C$8)</f>
        <v>0</v>
      </c>
    </row>
    <row r="102" spans="1:8" x14ac:dyDescent="0.25">
      <c r="A102" s="1" t="str">
        <f t="shared" si="1"/>
        <v/>
      </c>
      <c r="B102" s="6" t="s">
        <v>116</v>
      </c>
      <c r="C102" s="6" t="s">
        <v>117</v>
      </c>
      <c r="D102" s="6">
        <v>100</v>
      </c>
      <c r="E102" s="9" t="s">
        <v>119</v>
      </c>
      <c r="F102" s="46">
        <v>2915.65</v>
      </c>
      <c r="G102" s="13">
        <v>0</v>
      </c>
      <c r="H102" s="5">
        <f>F102*G102*(1-'1. Dados do Projeto'!$B$8)*(1-'1. Dados do Projeto'!$C$8)</f>
        <v>0</v>
      </c>
    </row>
    <row r="103" spans="1:8" x14ac:dyDescent="0.25">
      <c r="A103" s="1" t="str">
        <f t="shared" si="1"/>
        <v/>
      </c>
      <c r="B103" s="6" t="s">
        <v>116</v>
      </c>
      <c r="C103" s="6" t="s">
        <v>117</v>
      </c>
      <c r="D103" s="6">
        <v>101</v>
      </c>
      <c r="E103" s="9" t="s">
        <v>120</v>
      </c>
      <c r="F103" s="46">
        <v>10</v>
      </c>
      <c r="G103" s="13">
        <v>0</v>
      </c>
      <c r="H103" s="5">
        <f>F103*G103*(1-'1. Dados do Projeto'!$B$8)*(1-'1. Dados do Projeto'!$C$8)</f>
        <v>0</v>
      </c>
    </row>
    <row r="104" spans="1:8" x14ac:dyDescent="0.25">
      <c r="A104" s="1" t="str">
        <f t="shared" si="1"/>
        <v/>
      </c>
      <c r="B104" s="6" t="s">
        <v>121</v>
      </c>
      <c r="C104" s="6" t="s">
        <v>122</v>
      </c>
      <c r="D104" s="6">
        <v>102</v>
      </c>
      <c r="E104" s="9" t="s">
        <v>123</v>
      </c>
      <c r="F104" s="46">
        <v>3087.9</v>
      </c>
      <c r="G104" s="13">
        <v>0</v>
      </c>
      <c r="H104" s="5">
        <f>F104*G104*(1-'1. Dados do Projeto'!$B$8)*(1-'1. Dados do Projeto'!$C$8)</f>
        <v>0</v>
      </c>
    </row>
    <row r="105" spans="1:8" x14ac:dyDescent="0.25">
      <c r="A105" s="1" t="str">
        <f t="shared" si="1"/>
        <v/>
      </c>
      <c r="B105" s="6" t="s">
        <v>121</v>
      </c>
      <c r="C105" s="6" t="s">
        <v>122</v>
      </c>
      <c r="D105" s="6">
        <v>103</v>
      </c>
      <c r="E105" s="9" t="s">
        <v>124</v>
      </c>
      <c r="F105" s="46">
        <v>6659.9</v>
      </c>
      <c r="G105" s="13">
        <v>0</v>
      </c>
      <c r="H105" s="5">
        <f>F105*G105*(1-'1. Dados do Projeto'!$B$8)*(1-'1. Dados do Projeto'!$C$8)</f>
        <v>0</v>
      </c>
    </row>
    <row r="106" spans="1:8" x14ac:dyDescent="0.25">
      <c r="A106" s="1" t="str">
        <f t="shared" si="1"/>
        <v/>
      </c>
      <c r="B106" s="6" t="s">
        <v>121</v>
      </c>
      <c r="C106" s="6" t="s">
        <v>122</v>
      </c>
      <c r="D106" s="6">
        <v>104</v>
      </c>
      <c r="E106" s="9" t="s">
        <v>125</v>
      </c>
      <c r="F106" s="46">
        <v>7940.2999999999993</v>
      </c>
      <c r="G106" s="13">
        <v>0</v>
      </c>
      <c r="H106" s="5">
        <f>F106*G106*(1-'1. Dados do Projeto'!$B$8)*(1-'1. Dados do Projeto'!$C$8)</f>
        <v>0</v>
      </c>
    </row>
    <row r="107" spans="1:8" x14ac:dyDescent="0.25">
      <c r="A107" s="1" t="str">
        <f t="shared" si="1"/>
        <v/>
      </c>
      <c r="B107" s="6" t="s">
        <v>121</v>
      </c>
      <c r="C107" s="6" t="s">
        <v>122</v>
      </c>
      <c r="D107" s="6">
        <v>105</v>
      </c>
      <c r="E107" s="9" t="s">
        <v>126</v>
      </c>
      <c r="F107" s="46">
        <v>9043.0999999999985</v>
      </c>
      <c r="G107" s="13">
        <v>0</v>
      </c>
      <c r="H107" s="5">
        <f>F107*G107*(1-'1. Dados do Projeto'!$B$8)*(1-'1. Dados do Projeto'!$C$8)</f>
        <v>0</v>
      </c>
    </row>
    <row r="108" spans="1:8" x14ac:dyDescent="0.25">
      <c r="A108" s="1" t="str">
        <f t="shared" si="1"/>
        <v>x</v>
      </c>
      <c r="B108" s="6" t="s">
        <v>127</v>
      </c>
      <c r="C108" s="6" t="s">
        <v>128</v>
      </c>
      <c r="D108" s="6">
        <v>106</v>
      </c>
      <c r="E108" s="9" t="s">
        <v>129</v>
      </c>
      <c r="F108" s="46">
        <v>7226.15</v>
      </c>
      <c r="G108" s="13">
        <v>0</v>
      </c>
      <c r="H108" s="5">
        <f>F108*G108*(1-'1. Dados do Projeto'!$B$8)*(1-'1. Dados do Projeto'!$C$8)</f>
        <v>0</v>
      </c>
    </row>
    <row r="109" spans="1:8" x14ac:dyDescent="0.25">
      <c r="A109" s="1" t="str">
        <f t="shared" si="1"/>
        <v>x</v>
      </c>
      <c r="B109" s="6" t="s">
        <v>127</v>
      </c>
      <c r="C109" s="6" t="s">
        <v>128</v>
      </c>
      <c r="D109" s="6">
        <v>107</v>
      </c>
      <c r="E109" s="9" t="s">
        <v>130</v>
      </c>
      <c r="F109" s="46">
        <v>9574.4000000000015</v>
      </c>
      <c r="G109" s="13">
        <v>0</v>
      </c>
      <c r="H109" s="5">
        <f>F109*G109*(1-'1. Dados do Projeto'!$B$8)*(1-'1. Dados do Projeto'!$C$8)</f>
        <v>0</v>
      </c>
    </row>
    <row r="110" spans="1:8" x14ac:dyDescent="0.25">
      <c r="A110" s="1" t="str">
        <f t="shared" si="1"/>
        <v>x</v>
      </c>
      <c r="B110" s="6" t="s">
        <v>127</v>
      </c>
      <c r="C110" s="6" t="s">
        <v>128</v>
      </c>
      <c r="D110" s="6">
        <v>108</v>
      </c>
      <c r="E110" s="9" t="s">
        <v>131</v>
      </c>
      <c r="F110" s="46">
        <v>11457.85</v>
      </c>
      <c r="G110" s="13">
        <v>0</v>
      </c>
      <c r="H110" s="5">
        <f>F110*G110*(1-'1. Dados do Projeto'!$B$8)*(1-'1. Dados do Projeto'!$C$8)</f>
        <v>0</v>
      </c>
    </row>
    <row r="111" spans="1:8" x14ac:dyDescent="0.25">
      <c r="A111" s="1" t="str">
        <f t="shared" si="1"/>
        <v>x</v>
      </c>
      <c r="B111" s="6" t="s">
        <v>127</v>
      </c>
      <c r="C111" s="6" t="s">
        <v>128</v>
      </c>
      <c r="D111" s="6">
        <v>109</v>
      </c>
      <c r="E111" s="9" t="s">
        <v>132</v>
      </c>
      <c r="F111" s="46">
        <v>11457.85</v>
      </c>
      <c r="G111" s="13">
        <v>0</v>
      </c>
      <c r="H111" s="5">
        <f>F111*G111*(1-'1. Dados do Projeto'!$B$8)*(1-'1. Dados do Projeto'!$C$8)</f>
        <v>0</v>
      </c>
    </row>
    <row r="112" spans="1:8" x14ac:dyDescent="0.25">
      <c r="A112" s="1" t="str">
        <f t="shared" si="1"/>
        <v>x</v>
      </c>
      <c r="B112" s="6" t="s">
        <v>127</v>
      </c>
      <c r="C112" s="6" t="s">
        <v>128</v>
      </c>
      <c r="D112" s="6">
        <v>110</v>
      </c>
      <c r="E112" s="9" t="s">
        <v>133</v>
      </c>
      <c r="F112" s="46">
        <v>22199.599999999999</v>
      </c>
      <c r="G112" s="13">
        <v>0</v>
      </c>
      <c r="H112" s="5">
        <f>F112*G112*(1-'1. Dados do Projeto'!$B$8)*(1-'1. Dados do Projeto'!$C$8)</f>
        <v>0</v>
      </c>
    </row>
    <row r="113" spans="1:8" x14ac:dyDescent="0.25">
      <c r="A113" s="1" t="str">
        <f t="shared" si="1"/>
        <v>x</v>
      </c>
      <c r="B113" s="6" t="s">
        <v>127</v>
      </c>
      <c r="C113" s="6" t="s">
        <v>128</v>
      </c>
      <c r="D113" s="6">
        <v>111</v>
      </c>
      <c r="E113" s="9" t="s">
        <v>134</v>
      </c>
      <c r="F113" s="46">
        <v>27459.3</v>
      </c>
      <c r="G113" s="13">
        <v>0</v>
      </c>
      <c r="H113" s="5">
        <f>F113*G113*(1-'1. Dados do Projeto'!$B$8)*(1-'1. Dados do Projeto'!$C$8)</f>
        <v>0</v>
      </c>
    </row>
    <row r="114" spans="1:8" x14ac:dyDescent="0.25">
      <c r="A114" s="1" t="str">
        <f t="shared" si="1"/>
        <v>x</v>
      </c>
      <c r="B114" s="6" t="s">
        <v>127</v>
      </c>
      <c r="C114" s="6" t="s">
        <v>135</v>
      </c>
      <c r="D114" s="6">
        <v>112</v>
      </c>
      <c r="E114" s="9" t="s">
        <v>136</v>
      </c>
      <c r="F114" s="46">
        <v>3815.7999999999997</v>
      </c>
      <c r="G114" s="13">
        <v>0</v>
      </c>
      <c r="H114" s="5">
        <f>F114*G114*(1-'1. Dados do Projeto'!$B$8)*(1-'1. Dados do Projeto'!$C$8)</f>
        <v>0</v>
      </c>
    </row>
    <row r="115" spans="1:8" x14ac:dyDescent="0.25">
      <c r="A115" s="1" t="str">
        <f t="shared" si="1"/>
        <v>x</v>
      </c>
      <c r="B115" s="6" t="s">
        <v>127</v>
      </c>
      <c r="C115" s="6" t="s">
        <v>135</v>
      </c>
      <c r="D115" s="6">
        <v>113</v>
      </c>
      <c r="E115" s="9" t="s">
        <v>137</v>
      </c>
      <c r="F115" s="46">
        <v>5392</v>
      </c>
      <c r="G115" s="13">
        <v>1</v>
      </c>
      <c r="H115" s="5">
        <f>F115*G115*(1-'1. Dados do Projeto'!$B$8)*(1-'1. Dados do Projeto'!$C$8)</f>
        <v>3289.2545407564489</v>
      </c>
    </row>
    <row r="116" spans="1:8" x14ac:dyDescent="0.25">
      <c r="A116" s="1" t="str">
        <f t="shared" si="1"/>
        <v>x</v>
      </c>
      <c r="B116" s="6" t="s">
        <v>127</v>
      </c>
      <c r="C116" s="6" t="s">
        <v>135</v>
      </c>
      <c r="D116" s="6">
        <v>114</v>
      </c>
      <c r="E116" s="9" t="s">
        <v>138</v>
      </c>
      <c r="F116" s="46">
        <v>5906.25</v>
      </c>
      <c r="G116" s="13">
        <v>0</v>
      </c>
      <c r="H116" s="5">
        <f>F116*G116*(1-'1. Dados do Projeto'!$B$8)*(1-'1. Dados do Projeto'!$C$8)</f>
        <v>0</v>
      </c>
    </row>
    <row r="117" spans="1:8" x14ac:dyDescent="0.25">
      <c r="A117" s="1" t="str">
        <f t="shared" si="1"/>
        <v>x</v>
      </c>
      <c r="B117" s="6" t="s">
        <v>127</v>
      </c>
      <c r="C117" s="6" t="s">
        <v>135</v>
      </c>
      <c r="D117" s="6">
        <v>115</v>
      </c>
      <c r="E117" s="9" t="s">
        <v>139</v>
      </c>
      <c r="F117" s="46">
        <v>6138.55</v>
      </c>
      <c r="G117" s="13">
        <v>0</v>
      </c>
      <c r="H117" s="5">
        <f>F117*G117*(1-'1. Dados do Projeto'!$B$8)*(1-'1. Dados do Projeto'!$C$8)</f>
        <v>0</v>
      </c>
    </row>
    <row r="118" spans="1:8" x14ac:dyDescent="0.25">
      <c r="A118" s="1" t="str">
        <f t="shared" si="1"/>
        <v>x</v>
      </c>
      <c r="B118" s="6" t="s">
        <v>127</v>
      </c>
      <c r="C118" s="6" t="s">
        <v>140</v>
      </c>
      <c r="D118" s="6">
        <v>116</v>
      </c>
      <c r="E118" s="9" t="s">
        <v>141</v>
      </c>
      <c r="F118" s="46">
        <v>8220.8000000000011</v>
      </c>
      <c r="G118" s="13">
        <v>0</v>
      </c>
      <c r="H118" s="5">
        <f>F118*G118*(1-'1. Dados do Projeto'!$B$8)*(1-'1. Dados do Projeto'!$C$8)</f>
        <v>0</v>
      </c>
    </row>
    <row r="119" spans="1:8" x14ac:dyDescent="0.25">
      <c r="A119" s="1" t="str">
        <f t="shared" si="1"/>
        <v>x</v>
      </c>
      <c r="B119" s="6" t="s">
        <v>127</v>
      </c>
      <c r="C119" s="6" t="s">
        <v>140</v>
      </c>
      <c r="D119" s="6">
        <v>117</v>
      </c>
      <c r="E119" s="9" t="s">
        <v>142</v>
      </c>
      <c r="F119" s="46">
        <v>8792.7999999999993</v>
      </c>
      <c r="G119" s="13">
        <v>1</v>
      </c>
      <c r="H119" s="5">
        <f>F119*G119*(1-'1. Dados do Projeto'!$B$8)*(1-'1. Dados do Projeto'!$C$8)</f>
        <v>5363.8273972483867</v>
      </c>
    </row>
    <row r="120" spans="1:8" x14ac:dyDescent="0.25">
      <c r="A120" s="1" t="str">
        <f t="shared" si="1"/>
        <v>x</v>
      </c>
      <c r="B120" s="6" t="s">
        <v>127</v>
      </c>
      <c r="C120" s="6" t="s">
        <v>140</v>
      </c>
      <c r="D120" s="6">
        <v>118</v>
      </c>
      <c r="E120" s="9" t="s">
        <v>143</v>
      </c>
      <c r="F120" s="46">
        <v>13195.95</v>
      </c>
      <c r="G120" s="13">
        <v>0</v>
      </c>
      <c r="H120" s="5">
        <f>F120*G120*(1-'1. Dados do Projeto'!$B$8)*(1-'1. Dados do Projeto'!$C$8)</f>
        <v>0</v>
      </c>
    </row>
    <row r="121" spans="1:8" x14ac:dyDescent="0.25">
      <c r="A121" s="1" t="str">
        <f t="shared" si="1"/>
        <v>x</v>
      </c>
      <c r="B121" s="6" t="s">
        <v>127</v>
      </c>
      <c r="C121" s="6" t="s">
        <v>140</v>
      </c>
      <c r="D121" s="6">
        <v>119</v>
      </c>
      <c r="E121" s="9" t="s">
        <v>144</v>
      </c>
      <c r="F121" s="46">
        <v>15204</v>
      </c>
      <c r="G121" s="13">
        <v>0</v>
      </c>
      <c r="H121" s="5">
        <f>F121*G121*(1-'1. Dados do Projeto'!$B$8)*(1-'1. Dados do Projeto'!$C$8)</f>
        <v>0</v>
      </c>
    </row>
    <row r="122" spans="1:8" x14ac:dyDescent="0.25">
      <c r="A122" s="1" t="str">
        <f t="shared" si="1"/>
        <v>x</v>
      </c>
      <c r="B122" s="6" t="s">
        <v>127</v>
      </c>
      <c r="C122" s="6" t="s">
        <v>140</v>
      </c>
      <c r="D122" s="6">
        <v>120</v>
      </c>
      <c r="E122" s="9" t="s">
        <v>145</v>
      </c>
      <c r="F122" s="46">
        <v>15204</v>
      </c>
      <c r="G122" s="13">
        <v>0</v>
      </c>
      <c r="H122" s="5">
        <f>F122*G122*(1-'1. Dados do Projeto'!$B$8)*(1-'1. Dados do Projeto'!$C$8)</f>
        <v>0</v>
      </c>
    </row>
    <row r="123" spans="1:8" x14ac:dyDescent="0.25">
      <c r="A123" s="1" t="str">
        <f t="shared" si="1"/>
        <v>x</v>
      </c>
      <c r="B123" s="6" t="s">
        <v>127</v>
      </c>
      <c r="C123" s="6" t="s">
        <v>146</v>
      </c>
      <c r="D123" s="6">
        <v>121</v>
      </c>
      <c r="E123" s="9" t="s">
        <v>147</v>
      </c>
      <c r="F123" s="46">
        <v>2488.6000000000004</v>
      </c>
      <c r="G123" s="13">
        <v>0</v>
      </c>
      <c r="H123" s="5">
        <f>F123*G123*(1-'1. Dados do Projeto'!$B$8)*(1-'1. Dados do Projeto'!$C$8)</f>
        <v>0</v>
      </c>
    </row>
    <row r="124" spans="1:8" x14ac:dyDescent="0.25">
      <c r="A124" s="1" t="str">
        <f t="shared" si="1"/>
        <v>x</v>
      </c>
      <c r="B124" s="6" t="s">
        <v>127</v>
      </c>
      <c r="C124" s="6" t="s">
        <v>146</v>
      </c>
      <c r="D124" s="6">
        <v>122</v>
      </c>
      <c r="E124" s="9" t="s">
        <v>148</v>
      </c>
      <c r="F124" s="46">
        <v>2571.5499999999997</v>
      </c>
      <c r="G124" s="13">
        <v>0</v>
      </c>
      <c r="H124" s="5">
        <f>F124*G124*(1-'1. Dados do Projeto'!$B$8)*(1-'1. Dados do Projeto'!$C$8)</f>
        <v>0</v>
      </c>
    </row>
    <row r="125" spans="1:8" x14ac:dyDescent="0.25">
      <c r="A125" s="1" t="str">
        <f t="shared" si="1"/>
        <v>x</v>
      </c>
      <c r="B125" s="6" t="s">
        <v>127</v>
      </c>
      <c r="C125" s="6" t="s">
        <v>146</v>
      </c>
      <c r="D125" s="6">
        <v>123</v>
      </c>
      <c r="E125" s="9" t="s">
        <v>149</v>
      </c>
      <c r="F125" s="46">
        <v>2654.5</v>
      </c>
      <c r="G125" s="13">
        <v>0</v>
      </c>
      <c r="H125" s="5">
        <f>F125*G125*(1-'1. Dados do Projeto'!$B$8)*(1-'1. Dados do Projeto'!$C$8)</f>
        <v>0</v>
      </c>
    </row>
    <row r="126" spans="1:8" x14ac:dyDescent="0.25">
      <c r="A126" s="1" t="str">
        <f t="shared" si="1"/>
        <v>x</v>
      </c>
      <c r="B126" s="6" t="s">
        <v>127</v>
      </c>
      <c r="C126" s="6" t="s">
        <v>146</v>
      </c>
      <c r="D126" s="6">
        <v>124</v>
      </c>
      <c r="E126" s="9" t="s">
        <v>150</v>
      </c>
      <c r="F126" s="46">
        <v>2986.35</v>
      </c>
      <c r="G126" s="13">
        <v>0</v>
      </c>
      <c r="H126" s="5">
        <f>F126*G126*(1-'1. Dados do Projeto'!$B$8)*(1-'1. Dados do Projeto'!$C$8)</f>
        <v>0</v>
      </c>
    </row>
    <row r="127" spans="1:8" x14ac:dyDescent="0.25">
      <c r="A127" s="1" t="str">
        <f t="shared" si="1"/>
        <v>x</v>
      </c>
      <c r="B127" s="6" t="s">
        <v>127</v>
      </c>
      <c r="C127" s="6" t="s">
        <v>146</v>
      </c>
      <c r="D127" s="6">
        <v>125</v>
      </c>
      <c r="E127" s="9" t="s">
        <v>151</v>
      </c>
      <c r="F127" s="46">
        <v>3318.1</v>
      </c>
      <c r="G127" s="13">
        <v>0</v>
      </c>
      <c r="H127" s="5">
        <f>F127*G127*(1-'1. Dados do Projeto'!$B$8)*(1-'1. Dados do Projeto'!$C$8)</f>
        <v>0</v>
      </c>
    </row>
    <row r="128" spans="1:8" x14ac:dyDescent="0.25">
      <c r="A128" s="1" t="str">
        <f t="shared" si="1"/>
        <v>x</v>
      </c>
      <c r="B128" s="6" t="s">
        <v>152</v>
      </c>
      <c r="C128" s="6" t="s">
        <v>153</v>
      </c>
      <c r="D128" s="6">
        <v>126</v>
      </c>
      <c r="E128" s="9" t="s">
        <v>154</v>
      </c>
      <c r="F128" s="46">
        <v>1990.9</v>
      </c>
      <c r="G128" s="13">
        <v>0</v>
      </c>
      <c r="H128" s="5">
        <f>F128*G128*(1-'1. Dados do Projeto'!$B$8)*(1-'1. Dados do Projeto'!$C$8)</f>
        <v>0</v>
      </c>
    </row>
    <row r="129" spans="1:8" x14ac:dyDescent="0.25">
      <c r="A129" s="1" t="str">
        <f t="shared" si="1"/>
        <v>x</v>
      </c>
      <c r="B129" s="6" t="s">
        <v>152</v>
      </c>
      <c r="C129" s="6" t="s">
        <v>153</v>
      </c>
      <c r="D129" s="6">
        <v>127</v>
      </c>
      <c r="E129" s="9" t="s">
        <v>155</v>
      </c>
      <c r="F129" s="46">
        <v>4977.2000000000007</v>
      </c>
      <c r="G129" s="13">
        <v>0</v>
      </c>
      <c r="H129" s="5">
        <f>F129*G129*(1-'1. Dados do Projeto'!$B$8)*(1-'1. Dados do Projeto'!$C$8)</f>
        <v>0</v>
      </c>
    </row>
    <row r="130" spans="1:8" x14ac:dyDescent="0.25">
      <c r="A130" s="1" t="str">
        <f t="shared" si="1"/>
        <v>x</v>
      </c>
      <c r="B130" s="6" t="s">
        <v>152</v>
      </c>
      <c r="C130" s="6" t="s">
        <v>153</v>
      </c>
      <c r="D130" s="6">
        <v>128</v>
      </c>
      <c r="E130" s="9" t="s">
        <v>156</v>
      </c>
      <c r="F130" s="46">
        <v>10783.900000000001</v>
      </c>
      <c r="G130" s="13">
        <v>1</v>
      </c>
      <c r="H130" s="5">
        <f>F130*G130*(1-'1. Dados do Projeto'!$B$8)*(1-'1. Dados do Projeto'!$C$8)</f>
        <v>6578.4480790177058</v>
      </c>
    </row>
    <row r="131" spans="1:8" x14ac:dyDescent="0.25">
      <c r="A131" s="1" t="str">
        <f t="shared" si="1"/>
        <v>x</v>
      </c>
      <c r="B131" s="6" t="s">
        <v>152</v>
      </c>
      <c r="C131" s="6" t="s">
        <v>153</v>
      </c>
      <c r="D131" s="6">
        <v>129</v>
      </c>
      <c r="E131" s="9" t="s">
        <v>157</v>
      </c>
      <c r="F131" s="46">
        <v>14102.05</v>
      </c>
      <c r="G131" s="13">
        <v>0</v>
      </c>
      <c r="H131" s="5">
        <f>F131*G131*(1-'1. Dados do Projeto'!$B$8)*(1-'1. Dados do Projeto'!$C$8)</f>
        <v>0</v>
      </c>
    </row>
    <row r="132" spans="1:8" x14ac:dyDescent="0.25">
      <c r="A132" s="1" t="str">
        <f t="shared" ref="A132:A180" si="2">IF(LEFT(E132,8) = "Vistoria", "x", "")</f>
        <v>x</v>
      </c>
      <c r="B132" s="6" t="s">
        <v>152</v>
      </c>
      <c r="C132" s="6" t="s">
        <v>153</v>
      </c>
      <c r="D132" s="6">
        <v>130</v>
      </c>
      <c r="E132" s="9" t="s">
        <v>158</v>
      </c>
      <c r="F132" s="46">
        <v>16092.95</v>
      </c>
      <c r="G132" s="13">
        <v>0</v>
      </c>
      <c r="H132" s="5">
        <f>F132*G132*(1-'1. Dados do Projeto'!$B$8)*(1-'1. Dados do Projeto'!$C$8)</f>
        <v>0</v>
      </c>
    </row>
    <row r="133" spans="1:8" x14ac:dyDescent="0.25">
      <c r="A133" s="1" t="str">
        <f t="shared" si="2"/>
        <v>x</v>
      </c>
      <c r="B133" s="6" t="s">
        <v>152</v>
      </c>
      <c r="C133" s="6" t="s">
        <v>153</v>
      </c>
      <c r="D133" s="6">
        <v>131</v>
      </c>
      <c r="E133" s="9" t="s">
        <v>159</v>
      </c>
      <c r="F133" s="46">
        <v>19079.2</v>
      </c>
      <c r="G133" s="13">
        <v>0</v>
      </c>
      <c r="H133" s="5">
        <f>F133*G133*(1-'1. Dados do Projeto'!$B$8)*(1-'1. Dados do Projeto'!$C$8)</f>
        <v>0</v>
      </c>
    </row>
    <row r="134" spans="1:8" x14ac:dyDescent="0.25">
      <c r="A134" s="1" t="str">
        <f t="shared" si="2"/>
        <v>x</v>
      </c>
      <c r="B134" s="6" t="s">
        <v>160</v>
      </c>
      <c r="C134" s="6" t="s">
        <v>161</v>
      </c>
      <c r="D134" s="6">
        <v>132</v>
      </c>
      <c r="E134" s="9" t="s">
        <v>162</v>
      </c>
      <c r="F134" s="46">
        <v>2438.85</v>
      </c>
      <c r="G134" s="13">
        <v>1</v>
      </c>
      <c r="H134" s="5">
        <f>F134*G134*(1-'1. Dados do Projeto'!$B$8)*(1-'1. Dados do Projeto'!$C$8)</f>
        <v>1487.7593539918148</v>
      </c>
    </row>
    <row r="135" spans="1:8" x14ac:dyDescent="0.25">
      <c r="A135" s="1" t="str">
        <f t="shared" si="2"/>
        <v>x</v>
      </c>
      <c r="B135" s="6" t="s">
        <v>160</v>
      </c>
      <c r="C135" s="6" t="s">
        <v>161</v>
      </c>
      <c r="D135" s="6">
        <v>133</v>
      </c>
      <c r="E135" s="9" t="s">
        <v>163</v>
      </c>
      <c r="F135" s="46">
        <v>3793.75</v>
      </c>
      <c r="G135" s="13">
        <v>0</v>
      </c>
      <c r="H135" s="5">
        <f>F135*G135*(1-'1. Dados do Projeto'!$B$8)*(1-'1. Dados do Projeto'!$C$8)</f>
        <v>0</v>
      </c>
    </row>
    <row r="136" spans="1:8" x14ac:dyDescent="0.25">
      <c r="A136" s="1" t="str">
        <f t="shared" si="2"/>
        <v>x</v>
      </c>
      <c r="B136" s="6" t="s">
        <v>160</v>
      </c>
      <c r="C136" s="6" t="s">
        <v>161</v>
      </c>
      <c r="D136" s="6">
        <v>134</v>
      </c>
      <c r="E136" s="9" t="s">
        <v>164</v>
      </c>
      <c r="F136" s="46">
        <v>5419.6</v>
      </c>
      <c r="G136" s="13">
        <v>0</v>
      </c>
      <c r="H136" s="5">
        <f>F136*G136*(1-'1. Dados do Projeto'!$B$8)*(1-'1. Dados do Projeto'!$C$8)</f>
        <v>0</v>
      </c>
    </row>
    <row r="137" spans="1:8" x14ac:dyDescent="0.25">
      <c r="A137" s="1" t="str">
        <f t="shared" si="2"/>
        <v>x</v>
      </c>
      <c r="B137" s="6" t="s">
        <v>165</v>
      </c>
      <c r="C137" s="6" t="s">
        <v>166</v>
      </c>
      <c r="D137" s="6">
        <v>135</v>
      </c>
      <c r="E137" s="9" t="s">
        <v>167</v>
      </c>
      <c r="F137" s="46">
        <v>4296.6500000000005</v>
      </c>
      <c r="G137" s="13">
        <v>0</v>
      </c>
      <c r="H137" s="5">
        <f>F137*G137*(1-'1. Dados do Projeto'!$B$8)*(1-'1. Dados do Projeto'!$C$8)</f>
        <v>0</v>
      </c>
    </row>
    <row r="138" spans="1:8" x14ac:dyDescent="0.25">
      <c r="A138" s="1" t="str">
        <f t="shared" si="2"/>
        <v>x</v>
      </c>
      <c r="B138" s="6" t="s">
        <v>165</v>
      </c>
      <c r="C138" s="6" t="s">
        <v>166</v>
      </c>
      <c r="D138" s="6">
        <v>136</v>
      </c>
      <c r="E138" s="9" t="s">
        <v>168</v>
      </c>
      <c r="F138" s="46">
        <v>4687.9000000000005</v>
      </c>
      <c r="G138" s="13">
        <v>0</v>
      </c>
      <c r="H138" s="5">
        <f>F138*G138*(1-'1. Dados do Projeto'!$B$8)*(1-'1. Dados do Projeto'!$C$8)</f>
        <v>0</v>
      </c>
    </row>
    <row r="139" spans="1:8" x14ac:dyDescent="0.25">
      <c r="A139" s="1" t="str">
        <f t="shared" si="2"/>
        <v>x</v>
      </c>
      <c r="B139" s="6" t="s">
        <v>165</v>
      </c>
      <c r="C139" s="6" t="s">
        <v>166</v>
      </c>
      <c r="D139" s="6">
        <v>137</v>
      </c>
      <c r="E139" s="9" t="s">
        <v>169</v>
      </c>
      <c r="F139" s="46">
        <v>2366.5500000000002</v>
      </c>
      <c r="G139" s="13">
        <v>0</v>
      </c>
      <c r="H139" s="5">
        <f>F139*G139*(1-'1. Dados do Projeto'!$B$8)*(1-'1. Dados do Projeto'!$C$8)</f>
        <v>0</v>
      </c>
    </row>
    <row r="140" spans="1:8" x14ac:dyDescent="0.25">
      <c r="A140" s="1" t="str">
        <f t="shared" si="2"/>
        <v>x</v>
      </c>
      <c r="B140" s="6" t="s">
        <v>165</v>
      </c>
      <c r="C140" s="6" t="s">
        <v>166</v>
      </c>
      <c r="D140" s="6">
        <v>138</v>
      </c>
      <c r="E140" s="9" t="s">
        <v>170</v>
      </c>
      <c r="F140" s="46">
        <v>3071.1000000000004</v>
      </c>
      <c r="G140" s="13">
        <v>0</v>
      </c>
      <c r="H140" s="5">
        <f>F140*G140*(1-'1. Dados do Projeto'!$B$8)*(1-'1. Dados do Projeto'!$C$8)</f>
        <v>0</v>
      </c>
    </row>
    <row r="141" spans="1:8" x14ac:dyDescent="0.25">
      <c r="A141" s="1" t="str">
        <f t="shared" si="2"/>
        <v>x</v>
      </c>
      <c r="B141" s="6" t="s">
        <v>165</v>
      </c>
      <c r="C141" s="6" t="s">
        <v>166</v>
      </c>
      <c r="D141" s="6">
        <v>139</v>
      </c>
      <c r="E141" s="9" t="s">
        <v>171</v>
      </c>
      <c r="F141" s="46">
        <v>5871.3</v>
      </c>
      <c r="G141" s="13">
        <v>0</v>
      </c>
      <c r="H141" s="5">
        <f>F141*G141*(1-'1. Dados do Projeto'!$B$8)*(1-'1. Dados do Projeto'!$C$8)</f>
        <v>0</v>
      </c>
    </row>
    <row r="142" spans="1:8" x14ac:dyDescent="0.25">
      <c r="A142" s="1" t="str">
        <f t="shared" si="2"/>
        <v>x</v>
      </c>
      <c r="B142" s="6" t="s">
        <v>165</v>
      </c>
      <c r="C142" s="6" t="s">
        <v>166</v>
      </c>
      <c r="D142" s="6">
        <v>140</v>
      </c>
      <c r="E142" s="9" t="s">
        <v>172</v>
      </c>
      <c r="F142" s="46">
        <v>8310.0499999999993</v>
      </c>
      <c r="G142" s="13">
        <v>1</v>
      </c>
      <c r="H142" s="5">
        <f>F142*G142*(1-'1. Dados do Projeto'!$B$8)*(1-'1. Dados do Projeto'!$C$8)</f>
        <v>5069.3378517086658</v>
      </c>
    </row>
    <row r="143" spans="1:8" x14ac:dyDescent="0.25">
      <c r="A143" s="1" t="str">
        <f t="shared" si="2"/>
        <v>x</v>
      </c>
      <c r="B143" s="6" t="s">
        <v>165</v>
      </c>
      <c r="C143" s="6" t="s">
        <v>166</v>
      </c>
      <c r="D143" s="6">
        <v>141</v>
      </c>
      <c r="E143" s="9" t="s">
        <v>173</v>
      </c>
      <c r="F143" s="46">
        <v>5859.85</v>
      </c>
      <c r="G143" s="13">
        <v>0</v>
      </c>
      <c r="H143" s="5">
        <f>F143*G143*(1-'1. Dados do Projeto'!$B$8)*(1-'1. Dados do Projeto'!$C$8)</f>
        <v>0</v>
      </c>
    </row>
    <row r="144" spans="1:8" x14ac:dyDescent="0.25">
      <c r="A144" s="1" t="str">
        <f t="shared" si="2"/>
        <v>x</v>
      </c>
      <c r="B144" s="6" t="s">
        <v>105</v>
      </c>
      <c r="C144" s="6" t="s">
        <v>153</v>
      </c>
      <c r="D144" s="6">
        <v>142</v>
      </c>
      <c r="E144" s="9" t="s">
        <v>174</v>
      </c>
      <c r="F144" s="46">
        <v>6015.4</v>
      </c>
      <c r="G144" s="13">
        <v>0</v>
      </c>
      <c r="H144" s="5">
        <f>F144*G144*(1-'1. Dados do Projeto'!$B$8)*(1-'1. Dados do Projeto'!$C$8)</f>
        <v>0</v>
      </c>
    </row>
    <row r="145" spans="1:8" x14ac:dyDescent="0.25">
      <c r="A145" s="1" t="str">
        <f t="shared" si="2"/>
        <v>x</v>
      </c>
      <c r="B145" s="6" t="s">
        <v>105</v>
      </c>
      <c r="C145" s="6" t="s">
        <v>153</v>
      </c>
      <c r="D145" s="6">
        <v>143</v>
      </c>
      <c r="E145" s="9" t="s">
        <v>175</v>
      </c>
      <c r="F145" s="46">
        <v>11112.3</v>
      </c>
      <c r="G145" s="13">
        <v>1</v>
      </c>
      <c r="H145" s="5">
        <f>F145*G145*(1-'1. Dados do Projeto'!$B$8)*(1-'1. Dados do Projeto'!$C$8)</f>
        <v>6778.7802732284654</v>
      </c>
    </row>
    <row r="146" spans="1:8" x14ac:dyDescent="0.25">
      <c r="A146" s="1" t="str">
        <f t="shared" si="2"/>
        <v>x</v>
      </c>
      <c r="B146" s="6" t="s">
        <v>105</v>
      </c>
      <c r="C146" s="6" t="s">
        <v>153</v>
      </c>
      <c r="D146" s="6">
        <v>144</v>
      </c>
      <c r="E146" s="9" t="s">
        <v>176</v>
      </c>
      <c r="F146" s="46">
        <v>16462.75</v>
      </c>
      <c r="G146" s="13">
        <v>0</v>
      </c>
      <c r="H146" s="5">
        <f>F146*G146*(1-'1. Dados do Projeto'!$B$8)*(1-'1. Dados do Projeto'!$C$8)</f>
        <v>0</v>
      </c>
    </row>
    <row r="147" spans="1:8" x14ac:dyDescent="0.25">
      <c r="A147" s="1" t="str">
        <f t="shared" si="2"/>
        <v>x</v>
      </c>
      <c r="B147" s="6" t="s">
        <v>105</v>
      </c>
      <c r="C147" s="6" t="s">
        <v>153</v>
      </c>
      <c r="D147" s="6">
        <v>145</v>
      </c>
      <c r="E147" s="9" t="s">
        <v>177</v>
      </c>
      <c r="F147" s="46">
        <v>24694.1</v>
      </c>
      <c r="G147" s="13">
        <v>0</v>
      </c>
      <c r="H147" s="5">
        <f>F147*G147*(1-'1. Dados do Projeto'!$B$8)*(1-'1. Dados do Projeto'!$C$8)</f>
        <v>0</v>
      </c>
    </row>
    <row r="148" spans="1:8" x14ac:dyDescent="0.25">
      <c r="A148" s="1" t="str">
        <f t="shared" si="2"/>
        <v>x</v>
      </c>
      <c r="B148" s="6" t="s">
        <v>105</v>
      </c>
      <c r="C148" s="6" t="s">
        <v>153</v>
      </c>
      <c r="D148" s="6">
        <v>146</v>
      </c>
      <c r="E148" s="9" t="s">
        <v>178</v>
      </c>
      <c r="F148" s="46">
        <v>28809.8</v>
      </c>
      <c r="G148" s="13">
        <v>0</v>
      </c>
      <c r="H148" s="5">
        <f>F148*G148*(1-'1. Dados do Projeto'!$B$8)*(1-'1. Dados do Projeto'!$C$8)</f>
        <v>0</v>
      </c>
    </row>
    <row r="149" spans="1:8" x14ac:dyDescent="0.25">
      <c r="A149" s="1" t="str">
        <f t="shared" si="2"/>
        <v/>
      </c>
      <c r="B149" s="6" t="s">
        <v>179</v>
      </c>
      <c r="C149" s="6" t="s">
        <v>180</v>
      </c>
      <c r="D149" s="6">
        <v>147</v>
      </c>
      <c r="E149" s="9" t="s">
        <v>181</v>
      </c>
      <c r="F149" s="46">
        <v>57.199999999999996</v>
      </c>
      <c r="G149" s="13">
        <v>0</v>
      </c>
      <c r="H149" s="5">
        <f>F149*G149*(1-'1. Dados do Projeto'!$B$8)*(1-'1. Dados do Projeto'!$C$8)</f>
        <v>0</v>
      </c>
    </row>
    <row r="150" spans="1:8" x14ac:dyDescent="0.25">
      <c r="A150" s="1" t="str">
        <f t="shared" si="2"/>
        <v/>
      </c>
      <c r="B150" s="6" t="s">
        <v>179</v>
      </c>
      <c r="C150" s="6" t="s">
        <v>180</v>
      </c>
      <c r="D150" s="6">
        <v>148</v>
      </c>
      <c r="E150" s="9" t="s">
        <v>182</v>
      </c>
      <c r="F150" s="46">
        <v>55.05</v>
      </c>
      <c r="G150" s="13">
        <v>0</v>
      </c>
      <c r="H150" s="5">
        <f>F150*G150*(1-'1. Dados do Projeto'!$B$8)*(1-'1. Dados do Projeto'!$C$8)</f>
        <v>0</v>
      </c>
    </row>
    <row r="151" spans="1:8" x14ac:dyDescent="0.25">
      <c r="A151" s="1" t="str">
        <f t="shared" si="2"/>
        <v/>
      </c>
      <c r="B151" s="6" t="s">
        <v>179</v>
      </c>
      <c r="C151" s="6" t="s">
        <v>183</v>
      </c>
      <c r="D151" s="6">
        <v>149</v>
      </c>
      <c r="E151" s="9" t="s">
        <v>184</v>
      </c>
      <c r="F151" s="46">
        <v>4520.45</v>
      </c>
      <c r="G151" s="13">
        <v>0</v>
      </c>
      <c r="H151" s="5">
        <f>F151*G151*(1-'1. Dados do Projeto'!$B$8)*(1-'1. Dados do Projeto'!$C$8)</f>
        <v>0</v>
      </c>
    </row>
    <row r="152" spans="1:8" x14ac:dyDescent="0.25">
      <c r="A152" s="1" t="str">
        <f t="shared" si="2"/>
        <v/>
      </c>
      <c r="B152" s="6" t="s">
        <v>179</v>
      </c>
      <c r="C152" s="6" t="s">
        <v>183</v>
      </c>
      <c r="D152" s="6">
        <v>150</v>
      </c>
      <c r="E152" s="9" t="s">
        <v>185</v>
      </c>
      <c r="F152" s="46">
        <v>7900</v>
      </c>
      <c r="G152" s="13">
        <v>0</v>
      </c>
      <c r="H152" s="5">
        <f>F152*G152*(1-'1. Dados do Projeto'!$B$8)*(1-'1. Dados do Projeto'!$C$8)</f>
        <v>0</v>
      </c>
    </row>
    <row r="153" spans="1:8" x14ac:dyDescent="0.25">
      <c r="A153" s="1" t="str">
        <f t="shared" si="2"/>
        <v/>
      </c>
      <c r="B153" s="6" t="s">
        <v>179</v>
      </c>
      <c r="C153" s="6" t="s">
        <v>183</v>
      </c>
      <c r="D153" s="6">
        <v>151</v>
      </c>
      <c r="E153" s="9" t="s">
        <v>186</v>
      </c>
      <c r="F153" s="46">
        <v>9912.65</v>
      </c>
      <c r="G153" s="13">
        <v>0</v>
      </c>
      <c r="H153" s="5">
        <f>F153*G153*(1-'1. Dados do Projeto'!$B$8)*(1-'1. Dados do Projeto'!$C$8)</f>
        <v>0</v>
      </c>
    </row>
    <row r="154" spans="1:8" x14ac:dyDescent="0.25">
      <c r="A154" s="1" t="str">
        <f t="shared" si="2"/>
        <v/>
      </c>
      <c r="B154" s="6" t="s">
        <v>179</v>
      </c>
      <c r="C154" s="6" t="s">
        <v>183</v>
      </c>
      <c r="D154" s="6">
        <v>152</v>
      </c>
      <c r="E154" s="9" t="s">
        <v>187</v>
      </c>
      <c r="F154" s="46">
        <v>16531.900000000001</v>
      </c>
      <c r="G154" s="13">
        <v>0</v>
      </c>
      <c r="H154" s="5">
        <f>F154*G154*(1-'1. Dados do Projeto'!$B$8)*(1-'1. Dados do Projeto'!$C$8)</f>
        <v>0</v>
      </c>
    </row>
    <row r="155" spans="1:8" x14ac:dyDescent="0.25">
      <c r="A155" s="1" t="str">
        <f t="shared" si="2"/>
        <v/>
      </c>
      <c r="B155" s="6" t="s">
        <v>179</v>
      </c>
      <c r="C155" s="6" t="s">
        <v>183</v>
      </c>
      <c r="D155" s="6">
        <v>153</v>
      </c>
      <c r="E155" s="9" t="s">
        <v>188</v>
      </c>
      <c r="F155" s="46">
        <v>29100.5</v>
      </c>
      <c r="G155" s="13">
        <v>1</v>
      </c>
      <c r="H155" s="5">
        <f>F155*G155*(1-'1. Dados do Projeto'!$B$8)*(1-'1. Dados do Projeto'!$C$8)</f>
        <v>17752.031113368517</v>
      </c>
    </row>
    <row r="156" spans="1:8" x14ac:dyDescent="0.25">
      <c r="A156" s="1" t="str">
        <f t="shared" si="2"/>
        <v/>
      </c>
      <c r="B156" s="6" t="s">
        <v>179</v>
      </c>
      <c r="C156" s="6" t="s">
        <v>183</v>
      </c>
      <c r="D156" s="6">
        <v>154</v>
      </c>
      <c r="E156" s="9" t="s">
        <v>189</v>
      </c>
      <c r="F156" s="46">
        <v>33411.699999999997</v>
      </c>
      <c r="G156" s="13">
        <v>0</v>
      </c>
      <c r="H156" s="5">
        <f>F156*G156*(1-'1. Dados do Projeto'!$B$8)*(1-'1. Dados do Projeto'!$C$8)</f>
        <v>0</v>
      </c>
    </row>
    <row r="157" spans="1:8" x14ac:dyDescent="0.25">
      <c r="A157" s="1" t="str">
        <f t="shared" si="2"/>
        <v>x</v>
      </c>
      <c r="B157" s="6" t="s">
        <v>190</v>
      </c>
      <c r="C157" s="6" t="s">
        <v>1</v>
      </c>
      <c r="D157" s="6">
        <v>155</v>
      </c>
      <c r="E157" s="9" t="s">
        <v>191</v>
      </c>
      <c r="F157" s="46">
        <v>6430.85</v>
      </c>
      <c r="G157" s="13">
        <v>0</v>
      </c>
      <c r="H157" s="5">
        <f>F157*G157*(1-'1. Dados do Projeto'!$B$8)*(1-'1. Dados do Projeto'!$C$8)</f>
        <v>0</v>
      </c>
    </row>
    <row r="158" spans="1:8" x14ac:dyDescent="0.25">
      <c r="A158" s="1" t="str">
        <f t="shared" si="2"/>
        <v>x</v>
      </c>
      <c r="B158" s="6" t="s">
        <v>190</v>
      </c>
      <c r="C158" s="6" t="s">
        <v>1</v>
      </c>
      <c r="D158" s="6">
        <v>156</v>
      </c>
      <c r="E158" s="9" t="s">
        <v>192</v>
      </c>
      <c r="F158" s="46">
        <v>9766.4</v>
      </c>
      <c r="G158" s="13">
        <v>0</v>
      </c>
      <c r="H158" s="5">
        <f>F158*G158*(1-'1. Dados do Projeto'!$B$8)*(1-'1. Dados do Projeto'!$C$8)</f>
        <v>0</v>
      </c>
    </row>
    <row r="159" spans="1:8" x14ac:dyDescent="0.25">
      <c r="A159" s="1" t="str">
        <f t="shared" si="2"/>
        <v>x</v>
      </c>
      <c r="B159" s="6" t="s">
        <v>190</v>
      </c>
      <c r="C159" s="6" t="s">
        <v>1</v>
      </c>
      <c r="D159" s="6">
        <v>157</v>
      </c>
      <c r="E159" s="9" t="s">
        <v>193</v>
      </c>
      <c r="F159" s="46">
        <v>6839.25</v>
      </c>
      <c r="G159" s="13">
        <v>0</v>
      </c>
      <c r="H159" s="5">
        <f>F159*G159*(1-'1. Dados do Projeto'!$B$8)*(1-'1. Dados do Projeto'!$C$8)</f>
        <v>0</v>
      </c>
    </row>
    <row r="160" spans="1:8" x14ac:dyDescent="0.25">
      <c r="A160" s="1" t="str">
        <f t="shared" si="2"/>
        <v>x</v>
      </c>
      <c r="B160" s="6" t="s">
        <v>190</v>
      </c>
      <c r="C160" s="6" t="s">
        <v>153</v>
      </c>
      <c r="D160" s="6">
        <v>158</v>
      </c>
      <c r="E160" s="9" t="s">
        <v>194</v>
      </c>
      <c r="F160" s="46">
        <v>4687.9000000000005</v>
      </c>
      <c r="G160" s="13">
        <v>0</v>
      </c>
      <c r="H160" s="5">
        <f>F160*G160*(1-'1. Dados do Projeto'!$B$8)*(1-'1. Dados do Projeto'!$C$8)</f>
        <v>0</v>
      </c>
    </row>
    <row r="161" spans="1:8" x14ac:dyDescent="0.25">
      <c r="A161" s="1" t="str">
        <f t="shared" si="2"/>
        <v>x</v>
      </c>
      <c r="B161" s="6" t="s">
        <v>190</v>
      </c>
      <c r="C161" s="6" t="s">
        <v>153</v>
      </c>
      <c r="D161" s="6">
        <v>159</v>
      </c>
      <c r="E161" s="9" t="s">
        <v>195</v>
      </c>
      <c r="F161" s="46">
        <v>14632.95</v>
      </c>
      <c r="G161" s="13">
        <v>0</v>
      </c>
      <c r="H161" s="5">
        <f>F161*G161*(1-'1. Dados do Projeto'!$B$8)*(1-'1. Dados do Projeto'!$C$8)</f>
        <v>0</v>
      </c>
    </row>
    <row r="162" spans="1:8" x14ac:dyDescent="0.25">
      <c r="A162" s="1" t="str">
        <f t="shared" si="2"/>
        <v>x</v>
      </c>
      <c r="B162" s="6" t="s">
        <v>190</v>
      </c>
      <c r="C162" s="6" t="s">
        <v>153</v>
      </c>
      <c r="D162" s="6">
        <v>160</v>
      </c>
      <c r="E162" s="9" t="s">
        <v>196</v>
      </c>
      <c r="F162" s="46">
        <v>19532.7</v>
      </c>
      <c r="G162" s="13">
        <v>0</v>
      </c>
      <c r="H162" s="5">
        <f>F162*G162*(1-'1. Dados do Projeto'!$B$8)*(1-'1. Dados do Projeto'!$C$8)</f>
        <v>0</v>
      </c>
    </row>
    <row r="163" spans="1:8" x14ac:dyDescent="0.25">
      <c r="A163" s="1" t="str">
        <f t="shared" si="2"/>
        <v>x</v>
      </c>
      <c r="B163" s="6" t="s">
        <v>190</v>
      </c>
      <c r="C163" s="6" t="s">
        <v>153</v>
      </c>
      <c r="D163" s="6">
        <v>161</v>
      </c>
      <c r="E163" s="9" t="s">
        <v>197</v>
      </c>
      <c r="F163" s="46">
        <v>27345.8</v>
      </c>
      <c r="G163" s="13">
        <v>0</v>
      </c>
      <c r="H163" s="5">
        <f>F163*G163*(1-'1. Dados do Projeto'!$B$8)*(1-'1. Dados do Projeto'!$C$8)</f>
        <v>0</v>
      </c>
    </row>
    <row r="164" spans="1:8" x14ac:dyDescent="0.25">
      <c r="A164" s="1" t="str">
        <f t="shared" si="2"/>
        <v>x</v>
      </c>
      <c r="B164" s="6" t="s">
        <v>190</v>
      </c>
      <c r="C164" s="6" t="s">
        <v>153</v>
      </c>
      <c r="D164" s="6">
        <v>162</v>
      </c>
      <c r="E164" s="9" t="s">
        <v>198</v>
      </c>
      <c r="F164" s="46">
        <v>43762.399999999994</v>
      </c>
      <c r="G164" s="13">
        <v>0</v>
      </c>
      <c r="H164" s="5">
        <f>F164*G164*(1-'1. Dados do Projeto'!$B$8)*(1-'1. Dados do Projeto'!$C$8)</f>
        <v>0</v>
      </c>
    </row>
    <row r="165" spans="1:8" x14ac:dyDescent="0.25">
      <c r="A165" s="1" t="str">
        <f t="shared" si="2"/>
        <v>x</v>
      </c>
      <c r="B165" s="6" t="s">
        <v>190</v>
      </c>
      <c r="C165" s="6" t="s">
        <v>153</v>
      </c>
      <c r="D165" s="6">
        <v>163</v>
      </c>
      <c r="E165" s="9" t="s">
        <v>199</v>
      </c>
      <c r="F165" s="46">
        <v>56239.45</v>
      </c>
      <c r="G165" s="13">
        <v>0</v>
      </c>
      <c r="H165" s="5">
        <f>F165*G165*(1-'1. Dados do Projeto'!$B$8)*(1-'1. Dados do Projeto'!$C$8)</f>
        <v>0</v>
      </c>
    </row>
    <row r="166" spans="1:8" x14ac:dyDescent="0.25">
      <c r="A166" s="1" t="str">
        <f t="shared" si="2"/>
        <v>x</v>
      </c>
      <c r="B166" s="6" t="s">
        <v>190</v>
      </c>
      <c r="C166" s="6" t="s">
        <v>200</v>
      </c>
      <c r="D166" s="6">
        <v>164</v>
      </c>
      <c r="E166" s="9" t="s">
        <v>201</v>
      </c>
      <c r="F166" s="46">
        <v>4516.3500000000004</v>
      </c>
      <c r="G166" s="13">
        <v>0</v>
      </c>
      <c r="H166" s="5">
        <f>F166*G166*(1-'1. Dados do Projeto'!$B$8)*(1-'1. Dados do Projeto'!$C$8)</f>
        <v>0</v>
      </c>
    </row>
    <row r="167" spans="1:8" x14ac:dyDescent="0.25">
      <c r="A167" s="1" t="str">
        <f t="shared" si="2"/>
        <v>x</v>
      </c>
      <c r="B167" s="6" t="s">
        <v>190</v>
      </c>
      <c r="C167" s="6" t="s">
        <v>200</v>
      </c>
      <c r="D167" s="6">
        <v>165</v>
      </c>
      <c r="E167" s="9" t="s">
        <v>202</v>
      </c>
      <c r="F167" s="46">
        <v>3613.05</v>
      </c>
      <c r="G167" s="13">
        <v>0</v>
      </c>
      <c r="H167" s="5">
        <f>F167*G167*(1-'1. Dados do Projeto'!$B$8)*(1-'1. Dados do Projeto'!$C$8)</f>
        <v>0</v>
      </c>
    </row>
    <row r="168" spans="1:8" x14ac:dyDescent="0.25">
      <c r="A168" s="1" t="str">
        <f t="shared" si="2"/>
        <v>x</v>
      </c>
      <c r="B168" s="6" t="s">
        <v>190</v>
      </c>
      <c r="C168" s="6" t="s">
        <v>200</v>
      </c>
      <c r="D168" s="6">
        <v>166</v>
      </c>
      <c r="E168" s="9" t="s">
        <v>203</v>
      </c>
      <c r="F168" s="46">
        <v>6973.7</v>
      </c>
      <c r="G168" s="13">
        <v>1</v>
      </c>
      <c r="H168" s="5">
        <f>F168*G168*(1-'1. Dados do Projeto'!$B$8)*(1-'1. Dados do Projeto'!$C$8)</f>
        <v>4254.1310072094293</v>
      </c>
    </row>
    <row r="169" spans="1:8" x14ac:dyDescent="0.25">
      <c r="A169" s="1" t="str">
        <f t="shared" si="2"/>
        <v>x</v>
      </c>
      <c r="B169" s="6" t="s">
        <v>190</v>
      </c>
      <c r="C169" s="6" t="s">
        <v>200</v>
      </c>
      <c r="D169" s="6">
        <v>167</v>
      </c>
      <c r="E169" s="9" t="s">
        <v>204</v>
      </c>
      <c r="F169" s="46">
        <v>11923.099999999999</v>
      </c>
      <c r="G169" s="13">
        <v>0</v>
      </c>
      <c r="H169" s="5">
        <f>F169*G169*(1-'1. Dados do Projeto'!$B$8)*(1-'1. Dados do Projeto'!$C$8)</f>
        <v>0</v>
      </c>
    </row>
    <row r="170" spans="1:8" x14ac:dyDescent="0.25">
      <c r="A170" s="1" t="str">
        <f t="shared" si="2"/>
        <v>x</v>
      </c>
      <c r="B170" s="6" t="s">
        <v>190</v>
      </c>
      <c r="C170" s="6" t="s">
        <v>200</v>
      </c>
      <c r="D170" s="6">
        <v>168</v>
      </c>
      <c r="E170" s="9" t="s">
        <v>205</v>
      </c>
      <c r="F170" s="46">
        <v>15355.550000000001</v>
      </c>
      <c r="G170" s="13">
        <v>0</v>
      </c>
      <c r="H170" s="5">
        <f>F170*G170*(1-'1. Dados do Projeto'!$B$8)*(1-'1. Dados do Projeto'!$C$8)</f>
        <v>0</v>
      </c>
    </row>
    <row r="171" spans="1:8" x14ac:dyDescent="0.25">
      <c r="A171" s="1" t="str">
        <f t="shared" si="2"/>
        <v/>
      </c>
      <c r="B171" s="6" t="s">
        <v>206</v>
      </c>
      <c r="C171" s="6" t="s">
        <v>207</v>
      </c>
      <c r="D171" s="6">
        <v>169</v>
      </c>
      <c r="E171" s="9" t="s">
        <v>208</v>
      </c>
      <c r="F171" s="46">
        <v>11.45</v>
      </c>
      <c r="G171" s="13">
        <v>0</v>
      </c>
      <c r="H171" s="5">
        <f>F171*G171*(1-'1. Dados do Projeto'!$B$8)*(1-'1. Dados do Projeto'!$C$8)</f>
        <v>0</v>
      </c>
    </row>
    <row r="172" spans="1:8" x14ac:dyDescent="0.25">
      <c r="A172" s="1" t="str">
        <f t="shared" si="2"/>
        <v/>
      </c>
      <c r="B172" s="6" t="s">
        <v>206</v>
      </c>
      <c r="C172" s="6" t="s">
        <v>207</v>
      </c>
      <c r="D172" s="6">
        <v>170</v>
      </c>
      <c r="E172" s="9" t="s">
        <v>209</v>
      </c>
      <c r="F172" s="46">
        <v>8.25</v>
      </c>
      <c r="G172" s="13">
        <v>0</v>
      </c>
      <c r="H172" s="5">
        <f>F172*G172*(1-'1. Dados do Projeto'!$B$8)*(1-'1. Dados do Projeto'!$C$8)</f>
        <v>0</v>
      </c>
    </row>
    <row r="173" spans="1:8" x14ac:dyDescent="0.25">
      <c r="A173" s="1" t="str">
        <f t="shared" si="2"/>
        <v/>
      </c>
      <c r="B173" s="6" t="s">
        <v>206</v>
      </c>
      <c r="C173" s="6" t="s">
        <v>207</v>
      </c>
      <c r="D173" s="6">
        <v>171</v>
      </c>
      <c r="E173" s="9" t="s">
        <v>210</v>
      </c>
      <c r="F173" s="46">
        <v>6.15</v>
      </c>
      <c r="G173" s="13">
        <v>0</v>
      </c>
      <c r="H173" s="5">
        <f>F173*G173*(1-'1. Dados do Projeto'!$B$8)*(1-'1. Dados do Projeto'!$C$8)</f>
        <v>0</v>
      </c>
    </row>
    <row r="174" spans="1:8" x14ac:dyDescent="0.25">
      <c r="A174" s="1" t="str">
        <f t="shared" si="2"/>
        <v/>
      </c>
      <c r="B174" s="6" t="s">
        <v>206</v>
      </c>
      <c r="C174" s="6" t="s">
        <v>207</v>
      </c>
      <c r="D174" s="6">
        <v>172</v>
      </c>
      <c r="E174" s="9" t="s">
        <v>211</v>
      </c>
      <c r="F174" s="46">
        <v>3.5999999999999996</v>
      </c>
      <c r="G174" s="13">
        <v>0</v>
      </c>
      <c r="H174" s="5">
        <f>F174*G174*(1-'1. Dados do Projeto'!$B$8)*(1-'1. Dados do Projeto'!$C$8)</f>
        <v>0</v>
      </c>
    </row>
    <row r="175" spans="1:8" x14ac:dyDescent="0.25">
      <c r="A175" s="1" t="str">
        <f t="shared" si="2"/>
        <v/>
      </c>
      <c r="B175" s="6" t="s">
        <v>206</v>
      </c>
      <c r="C175" s="6" t="s">
        <v>207</v>
      </c>
      <c r="D175" s="6">
        <v>173</v>
      </c>
      <c r="E175" s="9" t="s">
        <v>212</v>
      </c>
      <c r="F175" s="46">
        <v>3.5999999999999996</v>
      </c>
      <c r="G175" s="13">
        <v>0</v>
      </c>
      <c r="H175" s="5">
        <f>F175*G175*(1-'1. Dados do Projeto'!$B$8)*(1-'1. Dados do Projeto'!$C$8)</f>
        <v>0</v>
      </c>
    </row>
    <row r="176" spans="1:8" x14ac:dyDescent="0.25">
      <c r="A176" s="1" t="str">
        <f t="shared" si="2"/>
        <v/>
      </c>
      <c r="B176" s="6" t="s">
        <v>213</v>
      </c>
      <c r="C176" s="6" t="s">
        <v>213</v>
      </c>
      <c r="D176" s="6">
        <v>174</v>
      </c>
      <c r="E176" s="9" t="s">
        <v>214</v>
      </c>
      <c r="F176" s="46">
        <v>1269.3499999999999</v>
      </c>
      <c r="G176" s="13">
        <v>2</v>
      </c>
      <c r="H176" s="5">
        <f>F176*G176*(1-'1. Dados do Projeto'!$B$8)*(1-'1. Dados do Projeto'!$C$8)</f>
        <v>1548.6703454410972</v>
      </c>
    </row>
    <row r="177" spans="1:8" x14ac:dyDescent="0.25">
      <c r="A177" s="1" t="str">
        <f t="shared" si="2"/>
        <v/>
      </c>
      <c r="B177" s="6" t="s">
        <v>213</v>
      </c>
      <c r="C177" s="6" t="s">
        <v>213</v>
      </c>
      <c r="D177" s="6">
        <v>175</v>
      </c>
      <c r="E177" s="9" t="s">
        <v>215</v>
      </c>
      <c r="F177" s="46">
        <v>2808.2999999999997</v>
      </c>
      <c r="G177" s="13">
        <v>0</v>
      </c>
      <c r="H177" s="5">
        <f>F177*G177*(1-'1. Dados do Projeto'!$B$8)*(1-'1. Dados do Projeto'!$C$8)</f>
        <v>0</v>
      </c>
    </row>
    <row r="178" spans="1:8" x14ac:dyDescent="0.25">
      <c r="A178" s="1" t="str">
        <f t="shared" si="2"/>
        <v/>
      </c>
      <c r="B178" s="6" t="s">
        <v>213</v>
      </c>
      <c r="C178" s="6" t="s">
        <v>213</v>
      </c>
      <c r="D178" s="6">
        <v>176</v>
      </c>
      <c r="E178" s="9" t="s">
        <v>216</v>
      </c>
      <c r="F178" s="46">
        <v>4212.45</v>
      </c>
      <c r="G178" s="13">
        <v>0</v>
      </c>
      <c r="H178" s="5">
        <f>F178*G178*(1-'1. Dados do Projeto'!$B$8)*(1-'1. Dados do Projeto'!$C$8)</f>
        <v>0</v>
      </c>
    </row>
    <row r="179" spans="1:8" x14ac:dyDescent="0.25">
      <c r="A179" s="1" t="str">
        <f t="shared" si="2"/>
        <v/>
      </c>
      <c r="B179" s="6" t="s">
        <v>213</v>
      </c>
      <c r="C179" s="6" t="s">
        <v>213</v>
      </c>
      <c r="D179" s="6">
        <v>177</v>
      </c>
      <c r="E179" s="9" t="s">
        <v>217</v>
      </c>
      <c r="F179" s="46">
        <v>7695.75</v>
      </c>
      <c r="G179" s="13">
        <v>0</v>
      </c>
      <c r="H179" s="5">
        <f>F179*G179*(1-'1. Dados do Projeto'!$B$8)*(1-'1. Dados do Projeto'!$C$8)</f>
        <v>0</v>
      </c>
    </row>
    <row r="180" spans="1:8" x14ac:dyDescent="0.25">
      <c r="A180" s="1" t="str">
        <f t="shared" si="2"/>
        <v/>
      </c>
      <c r="B180" s="6" t="s">
        <v>213</v>
      </c>
      <c r="C180" s="6" t="s">
        <v>213</v>
      </c>
      <c r="D180" s="6">
        <v>178</v>
      </c>
      <c r="E180" s="9" t="s">
        <v>218</v>
      </c>
      <c r="F180" s="46">
        <v>10774</v>
      </c>
      <c r="G180" s="13">
        <v>0</v>
      </c>
      <c r="H180" s="59">
        <f>F180*G180*(1-'1. Dados do Projeto'!$B$8)*(1-'1. Dados do Projeto'!$C$8)</f>
        <v>0</v>
      </c>
    </row>
  </sheetData>
  <dataValidations disablePrompts="1" count="1">
    <dataValidation type="list" allowBlank="1" showInputMessage="1" showErrorMessage="1" sqref="O3" xr:uid="{E4A75807-564C-4DE9-91BD-F706FE135245}">
      <formula1>"Recursus,Claro,Telefônica,Motorola,Engemon,Banco Central,IHS Tower,Phoenix Fibra,Sandin Fibra,FiBrasil"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BD23-B0F5-4C9A-8F90-E0C55035377C}">
  <sheetPr codeName="Planilha2"/>
  <dimension ref="B2:L21"/>
  <sheetViews>
    <sheetView showGridLines="0" workbookViewId="0">
      <selection activeCell="H2" sqref="H2"/>
    </sheetView>
  </sheetViews>
  <sheetFormatPr defaultRowHeight="15" x14ac:dyDescent="0.25"/>
  <cols>
    <col min="1" max="1" width="4.140625" style="2" customWidth="1"/>
    <col min="2" max="2" width="17.28515625" style="2" customWidth="1"/>
    <col min="3" max="3" width="28.5703125" style="2" customWidth="1"/>
    <col min="4" max="4" width="13" style="2" customWidth="1"/>
    <col min="5" max="5" width="20.85546875" style="2" hidden="1" customWidth="1"/>
    <col min="6" max="6" width="16.140625" style="2" hidden="1" customWidth="1"/>
    <col min="7" max="7" width="21" style="2" customWidth="1"/>
    <col min="8" max="11" width="25.5703125" style="2" customWidth="1"/>
    <col min="12" max="12" width="35" style="2" hidden="1" customWidth="1"/>
    <col min="13" max="16384" width="9.140625" style="2"/>
  </cols>
  <sheetData>
    <row r="2" spans="2:12" ht="21" customHeight="1" x14ac:dyDescent="0.35">
      <c r="B2" s="53" t="s">
        <v>252</v>
      </c>
      <c r="C2" s="54" t="s">
        <v>253</v>
      </c>
      <c r="D2" s="54" t="s">
        <v>245</v>
      </c>
      <c r="E2" s="54" t="s">
        <v>247</v>
      </c>
      <c r="F2" s="54" t="s">
        <v>249</v>
      </c>
      <c r="G2" s="54" t="s">
        <v>250</v>
      </c>
      <c r="H2" s="54" t="s">
        <v>255</v>
      </c>
      <c r="I2" s="54" t="s">
        <v>296</v>
      </c>
      <c r="J2" s="54" t="s">
        <v>294</v>
      </c>
      <c r="K2" s="55" t="s">
        <v>295</v>
      </c>
      <c r="L2" s="50" t="s">
        <v>251</v>
      </c>
    </row>
    <row r="3" spans="2:12" x14ac:dyDescent="0.25">
      <c r="B3" s="56" t="s">
        <v>229</v>
      </c>
      <c r="C3" s="4" t="s">
        <v>230</v>
      </c>
      <c r="D3" s="21">
        <v>0.2</v>
      </c>
      <c r="E3" s="5">
        <f>D3 *'1. Dados do Projeto'!$D$3* (1 -'1. Dados do Projeto'!$B$8) * (1 -'1. Dados do Projeto'!$C$8)</f>
        <v>22388.291510860308</v>
      </c>
      <c r="F3" s="61"/>
      <c r="G3" s="5">
        <f>E3*(1-F3)</f>
        <v>22388.291510860308</v>
      </c>
      <c r="H3" s="34">
        <f>G3/'1. Dados do Projeto'!$D$8</f>
        <v>223.88291510860307</v>
      </c>
      <c r="I3" s="34">
        <f>H3/8</f>
        <v>27.985364388575384</v>
      </c>
      <c r="J3" s="36">
        <f>'1. Dados do Projeto'!$G$3</f>
        <v>44620</v>
      </c>
      <c r="K3" s="35">
        <f>WORKDAY(J3,I3,'4. Feriados'!$B$3:$B$938)</f>
        <v>44658</v>
      </c>
      <c r="L3" s="51" t="str">
        <f>'1. Dados do Projeto'!$B$3</f>
        <v>GPON - IMBITUCA/SC (Central M)</v>
      </c>
    </row>
    <row r="4" spans="2:12" x14ac:dyDescent="0.25">
      <c r="B4" s="56" t="s">
        <v>231</v>
      </c>
      <c r="C4" s="4" t="s">
        <v>232</v>
      </c>
      <c r="D4" s="21">
        <v>0.1</v>
      </c>
      <c r="E4" s="5">
        <f>D4 *'1. Dados do Projeto'!$D$3* (1 -'1. Dados do Projeto'!$B$8) * (1 -'1. Dados do Projeto'!$C$8)</f>
        <v>11194.145755430154</v>
      </c>
      <c r="F4" s="61"/>
      <c r="G4" s="5">
        <f t="shared" ref="G4:G21" si="0">E4*(1-F4)</f>
        <v>11194.145755430154</v>
      </c>
      <c r="H4" s="34">
        <f>G4/'1. Dados do Projeto'!$D$8</f>
        <v>111.94145755430154</v>
      </c>
      <c r="I4" s="34">
        <f t="shared" ref="I4:I21" si="1">H4/8</f>
        <v>13.992682194287692</v>
      </c>
      <c r="J4" s="36">
        <f>K3+1</f>
        <v>44659</v>
      </c>
      <c r="K4" s="35">
        <f>WORKDAY(J4,I4,'4. Feriados'!$B$3:$B$938)</f>
        <v>44680</v>
      </c>
      <c r="L4" s="51" t="str">
        <f>'1. Dados do Projeto'!$B$3</f>
        <v>GPON - IMBITUCA/SC (Central M)</v>
      </c>
    </row>
    <row r="5" spans="2:12" x14ac:dyDescent="0.25">
      <c r="B5" s="56" t="s">
        <v>233</v>
      </c>
      <c r="C5" s="4" t="s">
        <v>234</v>
      </c>
      <c r="D5" s="21">
        <v>0.08</v>
      </c>
      <c r="E5" s="5">
        <f>D5 *'1. Dados do Projeto'!$D$3* (1 -'1. Dados do Projeto'!$B$8) * (1 -'1. Dados do Projeto'!$C$8)</f>
        <v>8955.3166043441233</v>
      </c>
      <c r="F5" s="7"/>
      <c r="G5" s="5">
        <f t="shared" si="0"/>
        <v>8955.3166043441233</v>
      </c>
      <c r="H5" s="34">
        <f>G5/'1. Dados do Projeto'!$D$8</f>
        <v>89.553166043441237</v>
      </c>
      <c r="I5" s="34">
        <f t="shared" si="1"/>
        <v>11.194145755430155</v>
      </c>
      <c r="J5" s="36">
        <f t="shared" ref="J5:J21" si="2">K4+1</f>
        <v>44681</v>
      </c>
      <c r="K5" s="35">
        <f>WORKDAY(J5,I5,'4. Feriados'!$B$3:$B$938)</f>
        <v>44697</v>
      </c>
      <c r="L5" s="51" t="str">
        <f>'1. Dados do Projeto'!$B$3</f>
        <v>GPON - IMBITUCA/SC (Central M)</v>
      </c>
    </row>
    <row r="6" spans="2:12" x14ac:dyDescent="0.25">
      <c r="B6" s="56" t="s">
        <v>233</v>
      </c>
      <c r="C6" s="4" t="s">
        <v>213</v>
      </c>
      <c r="D6" s="52"/>
      <c r="E6" s="5">
        <f>SUMIF(Tabela3[Categoria], '3. Custo por Categoria'!C6, Tabela3[Custo Líquido]) * IF(D6 = "x", 1 - $D$5, 1)</f>
        <v>1548.6703454410972</v>
      </c>
      <c r="F6" s="62">
        <f xml:space="preserve"> 1 - ( SUM( Tabela3[Custo Líquido]) - SUM($E$3:$E$6) ) / SUM($E$7:$E$19)</f>
        <v>0.25521513538942442</v>
      </c>
      <c r="G6" s="5">
        <f t="shared" si="0"/>
        <v>1153.426233555761</v>
      </c>
      <c r="H6" s="34">
        <f>G6/'1. Dados do Projeto'!$D$8</f>
        <v>11.53426233555761</v>
      </c>
      <c r="I6" s="34">
        <f t="shared" si="1"/>
        <v>1.4417827919447013</v>
      </c>
      <c r="J6" s="36">
        <f t="shared" si="2"/>
        <v>44698</v>
      </c>
      <c r="K6" s="35">
        <f>WORKDAY(J6,I6,'4. Feriados'!$B$3:$B$938)</f>
        <v>44699</v>
      </c>
      <c r="L6" s="51" t="str">
        <f>'1. Dados do Projeto'!$B$3</f>
        <v>GPON - IMBITUCA/SC (Central M)</v>
      </c>
    </row>
    <row r="7" spans="2:12" x14ac:dyDescent="0.25">
      <c r="B7" s="56" t="s">
        <v>235</v>
      </c>
      <c r="C7" s="4" t="s">
        <v>105</v>
      </c>
      <c r="D7" s="60" t="s">
        <v>246</v>
      </c>
      <c r="E7" s="5">
        <f>SUMIF(Tabela3[Categoria], '3. Custo por Categoria'!C7, Tabela3[Custo Líquido]) * IF(D7 = "x", 1 - $D$5, 1)</f>
        <v>17490.457294184533</v>
      </c>
      <c r="F7" s="8">
        <f xml:space="preserve"> 1 - ( SUM( Tabela3[Custo Líquido]) - SUM($E$3:$E$6) ) / SUM($E$7:$E$19)</f>
        <v>0.25521513538942442</v>
      </c>
      <c r="G7" s="5">
        <f t="shared" si="0"/>
        <v>13026.627867826281</v>
      </c>
      <c r="H7" s="34">
        <f>G7/'1. Dados do Projeto'!$D$8</f>
        <v>130.26627867826281</v>
      </c>
      <c r="I7" s="34">
        <f t="shared" si="1"/>
        <v>16.283284834782851</v>
      </c>
      <c r="J7" s="36">
        <f t="shared" si="2"/>
        <v>44700</v>
      </c>
      <c r="K7" s="35">
        <f>WORKDAY(J7,I7,'4. Feriados'!$B$3:$B$938)</f>
        <v>44722</v>
      </c>
      <c r="L7" s="51" t="str">
        <f>'1. Dados do Projeto'!$B$3</f>
        <v>GPON - IMBITUCA/SC (Central M)</v>
      </c>
    </row>
    <row r="8" spans="2:12" x14ac:dyDescent="0.25">
      <c r="B8" s="56" t="s">
        <v>236</v>
      </c>
      <c r="C8" s="4" t="s">
        <v>1</v>
      </c>
      <c r="D8" s="60" t="s">
        <v>246</v>
      </c>
      <c r="E8" s="5">
        <f>SUMIF(Tabela3[Categoria], '3. Custo por Categoria'!C8, Tabela3[Custo Líquido]) * IF(D8 = "x", 1 - $D$5, 1)</f>
        <v>10274.044876438171</v>
      </c>
      <c r="F8" s="8">
        <f xml:space="preserve"> 1 - ( SUM( Tabela3[Custo Líquido]) - SUM($E$3:$E$6) ) / SUM($E$7:$E$19)</f>
        <v>0.25521513538942442</v>
      </c>
      <c r="G8" s="5">
        <f t="shared" si="0"/>
        <v>7651.9531223009808</v>
      </c>
      <c r="H8" s="34">
        <f>G8/'1. Dados do Projeto'!$D$8</f>
        <v>76.519531223009807</v>
      </c>
      <c r="I8" s="34">
        <f t="shared" si="1"/>
        <v>9.5649414028762259</v>
      </c>
      <c r="J8" s="36">
        <f t="shared" si="2"/>
        <v>44723</v>
      </c>
      <c r="K8" s="35">
        <f>WORKDAY(J8,I8,'4. Feriados'!$B$3:$B$938)</f>
        <v>44736</v>
      </c>
      <c r="L8" s="51" t="str">
        <f>'1. Dados do Projeto'!$B$3</f>
        <v>GPON - IMBITUCA/SC (Central M)</v>
      </c>
    </row>
    <row r="9" spans="2:12" x14ac:dyDescent="0.25">
      <c r="B9" s="56" t="s">
        <v>236</v>
      </c>
      <c r="C9" s="4" t="s">
        <v>74</v>
      </c>
      <c r="D9" s="60" t="s">
        <v>246</v>
      </c>
      <c r="E9" s="5">
        <f>SUMIF(Tabela3[Categoria], '3. Custo por Categoria'!C9, Tabela3[Custo Líquido]) * IF(D9 = "x", 1 - $D$5, 1)</f>
        <v>24663.25146380868</v>
      </c>
      <c r="F9" s="8">
        <f xml:space="preserve"> 1 - ( SUM( Tabela3[Custo Líquido]) - SUM($E$3:$E$6) ) / SUM($E$7:$E$19)</f>
        <v>0.25521513538942442</v>
      </c>
      <c r="G9" s="5">
        <f t="shared" si="0"/>
        <v>18368.816402329328</v>
      </c>
      <c r="H9" s="34">
        <f>G9/'1. Dados do Projeto'!$D$8</f>
        <v>183.6881640232933</v>
      </c>
      <c r="I9" s="34">
        <f t="shared" si="1"/>
        <v>22.961020502911662</v>
      </c>
      <c r="J9" s="36">
        <f t="shared" si="2"/>
        <v>44737</v>
      </c>
      <c r="K9" s="35">
        <f>WORKDAY(J9,I9,'4. Feriados'!$B$3:$B$938)</f>
        <v>44768</v>
      </c>
      <c r="L9" s="51" t="str">
        <f>'1. Dados do Projeto'!$B$3</f>
        <v>GPON - IMBITUCA/SC (Central M)</v>
      </c>
    </row>
    <row r="10" spans="2:12" x14ac:dyDescent="0.25">
      <c r="B10" s="56" t="s">
        <v>236</v>
      </c>
      <c r="C10" s="4" t="s">
        <v>160</v>
      </c>
      <c r="D10" s="60" t="s">
        <v>246</v>
      </c>
      <c r="E10" s="5">
        <f>SUMIF(Tabela3[Categoria], '3. Custo por Categoria'!C10, Tabela3[Custo Líquido]) * IF(D10 = "x", 1 - $D$5, 1)</f>
        <v>1368.7386056724697</v>
      </c>
      <c r="F10" s="8">
        <f xml:space="preserve"> 1 - ( SUM( Tabela3[Custo Líquido]) - SUM($E$3:$E$6) ) / SUM($E$7:$E$19)</f>
        <v>0.25521513538942442</v>
      </c>
      <c r="G10" s="5">
        <f t="shared" si="0"/>
        <v>1019.4157971130384</v>
      </c>
      <c r="H10" s="34">
        <f>G10/'1. Dados do Projeto'!$D$8</f>
        <v>10.194157971130384</v>
      </c>
      <c r="I10" s="34">
        <f t="shared" si="1"/>
        <v>1.274269746391298</v>
      </c>
      <c r="J10" s="36">
        <f t="shared" si="2"/>
        <v>44769</v>
      </c>
      <c r="K10" s="35">
        <f>WORKDAY(J10,I10,'4. Feriados'!$B$3:$B$938)</f>
        <v>44770</v>
      </c>
      <c r="L10" s="51" t="str">
        <f>'1. Dados do Projeto'!$B$3</f>
        <v>GPON - IMBITUCA/SC (Central M)</v>
      </c>
    </row>
    <row r="11" spans="2:12" x14ac:dyDescent="0.25">
      <c r="B11" s="56" t="s">
        <v>236</v>
      </c>
      <c r="C11" s="4" t="s">
        <v>54</v>
      </c>
      <c r="D11" s="60" t="s">
        <v>246</v>
      </c>
      <c r="E11" s="5">
        <f>SUMIF(Tabela3[Categoria], '3. Custo por Categoria'!C11, Tabela3[Custo Líquido]) * IF(D11 = "x", 1 - $D$5, 1)</f>
        <v>1339.7514400071013</v>
      </c>
      <c r="F11" s="8">
        <f xml:space="preserve"> 1 - ( SUM( Tabela3[Custo Líquido]) - SUM($E$3:$E$6) ) / SUM($E$7:$E$19)</f>
        <v>0.25521513538942442</v>
      </c>
      <c r="G11" s="5">
        <f t="shared" si="0"/>
        <v>997.82659485751265</v>
      </c>
      <c r="H11" s="34">
        <f>G11/'1. Dados do Projeto'!$D$8</f>
        <v>9.9782659485751264</v>
      </c>
      <c r="I11" s="34">
        <f t="shared" si="1"/>
        <v>1.2472832435718908</v>
      </c>
      <c r="J11" s="36">
        <f t="shared" si="2"/>
        <v>44771</v>
      </c>
      <c r="K11" s="35">
        <f>WORKDAY(J11,I11,'4. Feriados'!$B$3:$B$938)</f>
        <v>44774</v>
      </c>
      <c r="L11" s="51" t="str">
        <f>'1. Dados do Projeto'!$B$3</f>
        <v>GPON - IMBITUCA/SC (Central M)</v>
      </c>
    </row>
    <row r="12" spans="2:12" x14ac:dyDescent="0.25">
      <c r="B12" s="56" t="s">
        <v>236</v>
      </c>
      <c r="C12" s="4" t="s">
        <v>20</v>
      </c>
      <c r="D12" s="60" t="s">
        <v>246</v>
      </c>
      <c r="E12" s="5">
        <f>SUMIF(Tabela3[Categoria], '3. Custo por Categoria'!C12, Tabela3[Custo Líquido]) * IF(D12 = "x", 1 - $D$5, 1)</f>
        <v>0</v>
      </c>
      <c r="F12" s="8">
        <f xml:space="preserve"> 1 - ( SUM( Tabela3[Custo Líquido]) - SUM($E$3:$E$6) ) / SUM($E$7:$E$19)</f>
        <v>0.25521513538942442</v>
      </c>
      <c r="G12" s="5">
        <f t="shared" si="0"/>
        <v>0</v>
      </c>
      <c r="H12" s="34">
        <f>G12/'1. Dados do Projeto'!$D$8</f>
        <v>0</v>
      </c>
      <c r="I12" s="34">
        <f t="shared" si="1"/>
        <v>0</v>
      </c>
      <c r="J12" s="36">
        <f t="shared" si="2"/>
        <v>44775</v>
      </c>
      <c r="K12" s="35">
        <f>WORKDAY(J12,I12,'4. Feriados'!$B$3:$B$938)</f>
        <v>44775</v>
      </c>
      <c r="L12" s="51" t="str">
        <f>'1. Dados do Projeto'!$B$3</f>
        <v>GPON - IMBITUCA/SC (Central M)</v>
      </c>
    </row>
    <row r="13" spans="2:12" x14ac:dyDescent="0.25">
      <c r="B13" s="56" t="s">
        <v>237</v>
      </c>
      <c r="C13" s="4" t="s">
        <v>206</v>
      </c>
      <c r="D13" s="60"/>
      <c r="E13" s="5">
        <f>SUMIF(Tabela3[Categoria], '3. Custo por Categoria'!C13, Tabela3[Custo Líquido]) * IF(D13 = "x", 1 - $D$5, 1)</f>
        <v>0</v>
      </c>
      <c r="F13" s="8">
        <f xml:space="preserve"> 1 - ( SUM( Tabela3[Custo Líquido]) - SUM($E$3:$E$6) ) / SUM($E$7:$E$19)</f>
        <v>0.25521513538942442</v>
      </c>
      <c r="G13" s="5">
        <f t="shared" si="0"/>
        <v>0</v>
      </c>
      <c r="H13" s="34">
        <f>G13/'1. Dados do Projeto'!$D$8</f>
        <v>0</v>
      </c>
      <c r="I13" s="34">
        <f t="shared" si="1"/>
        <v>0</v>
      </c>
      <c r="J13" s="36">
        <f t="shared" si="2"/>
        <v>44776</v>
      </c>
      <c r="K13" s="35">
        <f>WORKDAY(J13,I13,'4. Feriados'!$B$3:$B$938)</f>
        <v>44776</v>
      </c>
      <c r="L13" s="51" t="str">
        <f>'1. Dados do Projeto'!$B$3</f>
        <v>GPON - IMBITUCA/SC (Central M)</v>
      </c>
    </row>
    <row r="14" spans="2:12" x14ac:dyDescent="0.25">
      <c r="B14" s="56" t="s">
        <v>238</v>
      </c>
      <c r="C14" s="4" t="s">
        <v>165</v>
      </c>
      <c r="D14" s="60" t="s">
        <v>246</v>
      </c>
      <c r="E14" s="5">
        <f>SUMIF(Tabela3[Categoria], '3. Custo por Categoria'!C14, Tabela3[Custo Líquido]) * IF(D14 = "x", 1 - $D$5, 1)</f>
        <v>4663.7908235719724</v>
      </c>
      <c r="F14" s="8">
        <f xml:space="preserve"> 1 - ( SUM( Tabela3[Custo Líquido]) - SUM($E$3:$E$6) ) / SUM($E$7:$E$19)</f>
        <v>0.25521513538942442</v>
      </c>
      <c r="G14" s="5">
        <f t="shared" si="0"/>
        <v>3473.5208171060963</v>
      </c>
      <c r="H14" s="34">
        <f>G14/'1. Dados do Projeto'!$D$8</f>
        <v>34.735208171060961</v>
      </c>
      <c r="I14" s="34">
        <f t="shared" si="1"/>
        <v>4.3419010213826201</v>
      </c>
      <c r="J14" s="36">
        <f t="shared" si="2"/>
        <v>44777</v>
      </c>
      <c r="K14" s="35">
        <f>WORKDAY(J14,I14,'4. Feriados'!$B$3:$B$938)</f>
        <v>44783</v>
      </c>
      <c r="L14" s="51" t="str">
        <f>'1. Dados do Projeto'!$B$3</f>
        <v>GPON - IMBITUCA/SC (Central M)</v>
      </c>
    </row>
    <row r="15" spans="2:12" x14ac:dyDescent="0.25">
      <c r="B15" s="56" t="s">
        <v>239</v>
      </c>
      <c r="C15" s="4" t="s">
        <v>98</v>
      </c>
      <c r="D15" s="60" t="s">
        <v>246</v>
      </c>
      <c r="E15" s="5">
        <f>SUMIF(Tabela3[Categoria], '3. Custo por Categoria'!C15, Tabela3[Custo Líquido]) * IF(D15 = "x", 1 - $D$5, 1)</f>
        <v>7502.6529618762306</v>
      </c>
      <c r="F15" s="8">
        <f xml:space="preserve"> 1 - ( SUM( Tabela3[Custo Líquido]) - SUM($E$3:$E$6) ) / SUM($E$7:$E$19)</f>
        <v>0.25521513538942442</v>
      </c>
      <c r="G15" s="5">
        <f t="shared" si="0"/>
        <v>5587.8623704311221</v>
      </c>
      <c r="H15" s="34">
        <f>G15/'1. Dados do Projeto'!$D$8</f>
        <v>55.878623704311224</v>
      </c>
      <c r="I15" s="34">
        <f t="shared" si="1"/>
        <v>6.984827963038903</v>
      </c>
      <c r="J15" s="36">
        <f t="shared" si="2"/>
        <v>44784</v>
      </c>
      <c r="K15" s="35">
        <f>WORKDAY(J15,I15,'4. Feriados'!$B$3:$B$938)</f>
        <v>44792</v>
      </c>
      <c r="L15" s="51" t="str">
        <f>'1. Dados do Projeto'!$B$3</f>
        <v>GPON - IMBITUCA/SC (Central M)</v>
      </c>
    </row>
    <row r="16" spans="2:12" x14ac:dyDescent="0.25">
      <c r="B16" s="56" t="s">
        <v>240</v>
      </c>
      <c r="C16" s="4" t="s">
        <v>121</v>
      </c>
      <c r="D16" s="60"/>
      <c r="E16" s="5">
        <f>SUMIF(Tabela3[Categoria], '3. Custo por Categoria'!C16, Tabela3[Custo Líquido]) * IF(D16 = "x", 1 - $D$5, 1)</f>
        <v>0</v>
      </c>
      <c r="F16" s="8">
        <f xml:space="preserve"> 1 - ( SUM( Tabela3[Custo Líquido]) - SUM($E$3:$E$6) ) / SUM($E$7:$E$19)</f>
        <v>0.25521513538942442</v>
      </c>
      <c r="G16" s="5">
        <f t="shared" si="0"/>
        <v>0</v>
      </c>
      <c r="H16" s="34">
        <f>G16/'1. Dados do Projeto'!$D$8</f>
        <v>0</v>
      </c>
      <c r="I16" s="34">
        <f t="shared" si="1"/>
        <v>0</v>
      </c>
      <c r="J16" s="36">
        <f t="shared" si="2"/>
        <v>44793</v>
      </c>
      <c r="K16" s="35">
        <f>WORKDAY(J16,I16,'4. Feriados'!$B$3:$B$938)</f>
        <v>44793</v>
      </c>
      <c r="L16" s="51" t="str">
        <f>'1. Dados do Projeto'!$B$3</f>
        <v>GPON - IMBITUCA/SC (Central M)</v>
      </c>
    </row>
    <row r="17" spans="2:12" x14ac:dyDescent="0.25">
      <c r="B17" s="56" t="s">
        <v>241</v>
      </c>
      <c r="C17" s="4" t="s">
        <v>179</v>
      </c>
      <c r="D17" s="60"/>
      <c r="E17" s="5">
        <f>SUMIF(Tabela3[Categoria], '3. Custo por Categoria'!C17, Tabela3[Custo Líquido]) * IF(D17 = "x", 1 - $D$5, 1)</f>
        <v>17752.031113368517</v>
      </c>
      <c r="F17" s="8">
        <f xml:space="preserve"> 1 - ( SUM( Tabela3[Custo Líquido]) - SUM($E$3:$E$6) ) / SUM($E$7:$E$19)</f>
        <v>0.25521513538942442</v>
      </c>
      <c r="G17" s="5">
        <f t="shared" si="0"/>
        <v>13221.444089332896</v>
      </c>
      <c r="H17" s="34">
        <f>G17/'1. Dados do Projeto'!$D$8</f>
        <v>132.21444089332897</v>
      </c>
      <c r="I17" s="34">
        <f t="shared" si="1"/>
        <v>16.526805111666121</v>
      </c>
      <c r="J17" s="36">
        <f t="shared" si="2"/>
        <v>44794</v>
      </c>
      <c r="K17" s="35">
        <f>WORKDAY(J17,I17,'4. Feriados'!$B$3:$B$938)</f>
        <v>44817</v>
      </c>
      <c r="L17" s="51" t="str">
        <f>'1. Dados do Projeto'!$B$3</f>
        <v>GPON - IMBITUCA/SC (Central M)</v>
      </c>
    </row>
    <row r="18" spans="2:12" x14ac:dyDescent="0.25">
      <c r="B18" s="56" t="s">
        <v>242</v>
      </c>
      <c r="C18" s="4" t="s">
        <v>116</v>
      </c>
      <c r="D18" s="60"/>
      <c r="E18" s="5">
        <f>SUMIF(Tabela3[Categoria], '3. Custo por Categoria'!C18, Tabela3[Custo Líquido]) * IF(D18 = "x", 1 - $D$5, 1)</f>
        <v>0</v>
      </c>
      <c r="F18" s="8">
        <f xml:space="preserve"> 1 - ( SUM( Tabela3[Custo Líquido]) - SUM($E$3:$E$6) ) / SUM($E$7:$E$19)</f>
        <v>0.25521513538942442</v>
      </c>
      <c r="G18" s="5">
        <f t="shared" si="0"/>
        <v>0</v>
      </c>
      <c r="H18" s="34">
        <f>G18/'1. Dados do Projeto'!$D$8</f>
        <v>0</v>
      </c>
      <c r="I18" s="34">
        <f t="shared" si="1"/>
        <v>0</v>
      </c>
      <c r="J18" s="36">
        <f t="shared" si="2"/>
        <v>44818</v>
      </c>
      <c r="K18" s="35">
        <f>WORKDAY(J18,I18,'4. Feriados'!$B$3:$B$938)</f>
        <v>44818</v>
      </c>
      <c r="L18" s="51" t="str">
        <f>'1. Dados do Projeto'!$B$3</f>
        <v>GPON - IMBITUCA/SC (Central M)</v>
      </c>
    </row>
    <row r="19" spans="2:12" x14ac:dyDescent="0.25">
      <c r="B19" s="56" t="s">
        <v>243</v>
      </c>
      <c r="C19" s="4" t="s">
        <v>152</v>
      </c>
      <c r="D19" s="60" t="s">
        <v>246</v>
      </c>
      <c r="E19" s="5">
        <f>SUMIF(Tabela3[Categoria], '3. Custo por Categoria'!C19, Tabela3[Custo Líquido]) * IF(D19 = "x", 1 - $D$5, 1)</f>
        <v>6052.1722326962899</v>
      </c>
      <c r="F19" s="8">
        <f xml:space="preserve"> 1 - ( SUM( Tabela3[Custo Líquido]) - SUM($E$3:$E$6) ) / SUM($E$7:$E$19)</f>
        <v>0.25521513538942442</v>
      </c>
      <c r="G19" s="5">
        <f t="shared" si="0"/>
        <v>4507.5662769285909</v>
      </c>
      <c r="H19" s="34">
        <f>G19/'1. Dados do Projeto'!$D$8</f>
        <v>45.075662769285913</v>
      </c>
      <c r="I19" s="34">
        <f t="shared" si="1"/>
        <v>5.6344578461607391</v>
      </c>
      <c r="J19" s="36">
        <f t="shared" si="2"/>
        <v>44819</v>
      </c>
      <c r="K19" s="35">
        <f>WORKDAY(J19,I19,'4. Feriados'!$B$3:$B$938)</f>
        <v>44826</v>
      </c>
      <c r="L19" s="51" t="str">
        <f>'1. Dados do Projeto'!$B$3</f>
        <v>GPON - IMBITUCA/SC (Central M)</v>
      </c>
    </row>
    <row r="20" spans="2:12" x14ac:dyDescent="0.25">
      <c r="B20" s="56" t="s">
        <v>244</v>
      </c>
      <c r="C20" s="4" t="s">
        <v>127</v>
      </c>
      <c r="D20" s="60" t="s">
        <v>246</v>
      </c>
      <c r="E20" s="5">
        <f>SUMIF(Tabela3[Categoria], '3. Custo por Categoria'!C20, Tabela3[Custo Líquido]) * IF(D20 = "x", 1 - $D$5, 1)</f>
        <v>7960.8353829644493</v>
      </c>
      <c r="F20" s="8">
        <f xml:space="preserve"> 1 - ( SUM( Tabela3[Custo Líquido]) - SUM($E$3:$E$6) ) / SUM($E$7:$E$19)</f>
        <v>0.25521513538942442</v>
      </c>
      <c r="G20" s="5">
        <f t="shared" si="0"/>
        <v>5929.1097028882568</v>
      </c>
      <c r="H20" s="34">
        <f>G20/'1. Dados do Projeto'!$D$8</f>
        <v>59.291097028882568</v>
      </c>
      <c r="I20" s="34">
        <f t="shared" si="1"/>
        <v>7.411387128610321</v>
      </c>
      <c r="J20" s="36">
        <f t="shared" si="2"/>
        <v>44827</v>
      </c>
      <c r="K20" s="35">
        <f>WORKDAY(J20,I20,'4. Feriados'!$B$3:$B$938)</f>
        <v>44838</v>
      </c>
      <c r="L20" s="51" t="str">
        <f>'1. Dados do Projeto'!$B$3</f>
        <v>GPON - IMBITUCA/SC (Central M)</v>
      </c>
    </row>
    <row r="21" spans="2:12" x14ac:dyDescent="0.25">
      <c r="B21" s="56"/>
      <c r="C21" s="4" t="s">
        <v>190</v>
      </c>
      <c r="D21" s="60" t="s">
        <v>246</v>
      </c>
      <c r="E21" s="5">
        <f>SUMIF(Tabela3[Categoria], '3. Custo por Categoria'!C21, Tabela3[Custo Líquido]) * IF(D21 = "x", 1 - $D$5, 1)</f>
        <v>3913.800526632675</v>
      </c>
      <c r="F21" s="8">
        <f xml:space="preserve"> 1 - ( SUM( Tabela3[Custo Líquido]) - SUM($E$3:$E$6) ) / SUM($E$7:$E$19)</f>
        <v>0.25521513538942442</v>
      </c>
      <c r="G21" s="5">
        <f t="shared" si="0"/>
        <v>2914.9393953409162</v>
      </c>
      <c r="H21" s="48">
        <f>G21/'1. Dados do Projeto'!$D$8</f>
        <v>29.149393953409163</v>
      </c>
      <c r="I21" s="49">
        <f t="shared" si="1"/>
        <v>3.6436742441761454</v>
      </c>
      <c r="J21" s="36">
        <f t="shared" si="2"/>
        <v>44839</v>
      </c>
      <c r="K21" s="35">
        <f>WORKDAY(J21,I21,'4. Feriados'!$B$3:$B$938)</f>
        <v>44844</v>
      </c>
      <c r="L21" s="51" t="str">
        <f>'1. Dados do Projeto'!$B$3</f>
        <v>GPON - IMBITUCA/SC (Central M)</v>
      </c>
    </row>
  </sheetData>
  <pageMargins left="0.511811024" right="0.511811024" top="0.78740157499999996" bottom="0.78740157499999996" header="0.31496062000000002" footer="0.31496062000000002"/>
  <ignoredErrors>
    <ignoredError sqref="J3 E3:E21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0217E-A349-495E-AF76-967241BB9B67}">
  <sheetPr codeName="Planilha3"/>
  <dimension ref="B2:D947"/>
  <sheetViews>
    <sheetView showGridLines="0" workbookViewId="0"/>
  </sheetViews>
  <sheetFormatPr defaultRowHeight="12.75" x14ac:dyDescent="0.2"/>
  <cols>
    <col min="1" max="1" width="9.140625" style="29"/>
    <col min="2" max="2" width="20.140625" style="29" customWidth="1"/>
    <col min="3" max="3" width="18" style="29" customWidth="1"/>
    <col min="4" max="4" width="45.140625" style="29" customWidth="1"/>
    <col min="5" max="257" width="9.140625" style="29"/>
    <col min="258" max="258" width="11.28515625" style="29" customWidth="1"/>
    <col min="259" max="259" width="18" style="29" customWidth="1"/>
    <col min="260" max="260" width="45.140625" style="29" customWidth="1"/>
    <col min="261" max="513" width="9.140625" style="29"/>
    <col min="514" max="514" width="11.28515625" style="29" customWidth="1"/>
    <col min="515" max="515" width="18" style="29" customWidth="1"/>
    <col min="516" max="516" width="45.140625" style="29" customWidth="1"/>
    <col min="517" max="769" width="9.140625" style="29"/>
    <col min="770" max="770" width="11.28515625" style="29" customWidth="1"/>
    <col min="771" max="771" width="18" style="29" customWidth="1"/>
    <col min="772" max="772" width="45.140625" style="29" customWidth="1"/>
    <col min="773" max="1025" width="9.140625" style="29"/>
    <col min="1026" max="1026" width="11.28515625" style="29" customWidth="1"/>
    <col min="1027" max="1027" width="18" style="29" customWidth="1"/>
    <col min="1028" max="1028" width="45.140625" style="29" customWidth="1"/>
    <col min="1029" max="1281" width="9.140625" style="29"/>
    <col min="1282" max="1282" width="11.28515625" style="29" customWidth="1"/>
    <col min="1283" max="1283" width="18" style="29" customWidth="1"/>
    <col min="1284" max="1284" width="45.140625" style="29" customWidth="1"/>
    <col min="1285" max="1537" width="9.140625" style="29"/>
    <col min="1538" max="1538" width="11.28515625" style="29" customWidth="1"/>
    <col min="1539" max="1539" width="18" style="29" customWidth="1"/>
    <col min="1540" max="1540" width="45.140625" style="29" customWidth="1"/>
    <col min="1541" max="1793" width="9.140625" style="29"/>
    <col min="1794" max="1794" width="11.28515625" style="29" customWidth="1"/>
    <col min="1795" max="1795" width="18" style="29" customWidth="1"/>
    <col min="1796" max="1796" width="45.140625" style="29" customWidth="1"/>
    <col min="1797" max="2049" width="9.140625" style="29"/>
    <col min="2050" max="2050" width="11.28515625" style="29" customWidth="1"/>
    <col min="2051" max="2051" width="18" style="29" customWidth="1"/>
    <col min="2052" max="2052" width="45.140625" style="29" customWidth="1"/>
    <col min="2053" max="2305" width="9.140625" style="29"/>
    <col min="2306" max="2306" width="11.28515625" style="29" customWidth="1"/>
    <col min="2307" max="2307" width="18" style="29" customWidth="1"/>
    <col min="2308" max="2308" width="45.140625" style="29" customWidth="1"/>
    <col min="2309" max="2561" width="9.140625" style="29"/>
    <col min="2562" max="2562" width="11.28515625" style="29" customWidth="1"/>
    <col min="2563" max="2563" width="18" style="29" customWidth="1"/>
    <col min="2564" max="2564" width="45.140625" style="29" customWidth="1"/>
    <col min="2565" max="2817" width="9.140625" style="29"/>
    <col min="2818" max="2818" width="11.28515625" style="29" customWidth="1"/>
    <col min="2819" max="2819" width="18" style="29" customWidth="1"/>
    <col min="2820" max="2820" width="45.140625" style="29" customWidth="1"/>
    <col min="2821" max="3073" width="9.140625" style="29"/>
    <col min="3074" max="3074" width="11.28515625" style="29" customWidth="1"/>
    <col min="3075" max="3075" width="18" style="29" customWidth="1"/>
    <col min="3076" max="3076" width="45.140625" style="29" customWidth="1"/>
    <col min="3077" max="3329" width="9.140625" style="29"/>
    <col min="3330" max="3330" width="11.28515625" style="29" customWidth="1"/>
    <col min="3331" max="3331" width="18" style="29" customWidth="1"/>
    <col min="3332" max="3332" width="45.140625" style="29" customWidth="1"/>
    <col min="3333" max="3585" width="9.140625" style="29"/>
    <col min="3586" max="3586" width="11.28515625" style="29" customWidth="1"/>
    <col min="3587" max="3587" width="18" style="29" customWidth="1"/>
    <col min="3588" max="3588" width="45.140625" style="29" customWidth="1"/>
    <col min="3589" max="3841" width="9.140625" style="29"/>
    <col min="3842" max="3842" width="11.28515625" style="29" customWidth="1"/>
    <col min="3843" max="3843" width="18" style="29" customWidth="1"/>
    <col min="3844" max="3844" width="45.140625" style="29" customWidth="1"/>
    <col min="3845" max="4097" width="9.140625" style="29"/>
    <col min="4098" max="4098" width="11.28515625" style="29" customWidth="1"/>
    <col min="4099" max="4099" width="18" style="29" customWidth="1"/>
    <col min="4100" max="4100" width="45.140625" style="29" customWidth="1"/>
    <col min="4101" max="4353" width="9.140625" style="29"/>
    <col min="4354" max="4354" width="11.28515625" style="29" customWidth="1"/>
    <col min="4355" max="4355" width="18" style="29" customWidth="1"/>
    <col min="4356" max="4356" width="45.140625" style="29" customWidth="1"/>
    <col min="4357" max="4609" width="9.140625" style="29"/>
    <col min="4610" max="4610" width="11.28515625" style="29" customWidth="1"/>
    <col min="4611" max="4611" width="18" style="29" customWidth="1"/>
    <col min="4612" max="4612" width="45.140625" style="29" customWidth="1"/>
    <col min="4613" max="4865" width="9.140625" style="29"/>
    <col min="4866" max="4866" width="11.28515625" style="29" customWidth="1"/>
    <col min="4867" max="4867" width="18" style="29" customWidth="1"/>
    <col min="4868" max="4868" width="45.140625" style="29" customWidth="1"/>
    <col min="4869" max="5121" width="9.140625" style="29"/>
    <col min="5122" max="5122" width="11.28515625" style="29" customWidth="1"/>
    <col min="5123" max="5123" width="18" style="29" customWidth="1"/>
    <col min="5124" max="5124" width="45.140625" style="29" customWidth="1"/>
    <col min="5125" max="5377" width="9.140625" style="29"/>
    <col min="5378" max="5378" width="11.28515625" style="29" customWidth="1"/>
    <col min="5379" max="5379" width="18" style="29" customWidth="1"/>
    <col min="5380" max="5380" width="45.140625" style="29" customWidth="1"/>
    <col min="5381" max="5633" width="9.140625" style="29"/>
    <col min="5634" max="5634" width="11.28515625" style="29" customWidth="1"/>
    <col min="5635" max="5635" width="18" style="29" customWidth="1"/>
    <col min="5636" max="5636" width="45.140625" style="29" customWidth="1"/>
    <col min="5637" max="5889" width="9.140625" style="29"/>
    <col min="5890" max="5890" width="11.28515625" style="29" customWidth="1"/>
    <col min="5891" max="5891" width="18" style="29" customWidth="1"/>
    <col min="5892" max="5892" width="45.140625" style="29" customWidth="1"/>
    <col min="5893" max="6145" width="9.140625" style="29"/>
    <col min="6146" max="6146" width="11.28515625" style="29" customWidth="1"/>
    <col min="6147" max="6147" width="18" style="29" customWidth="1"/>
    <col min="6148" max="6148" width="45.140625" style="29" customWidth="1"/>
    <col min="6149" max="6401" width="9.140625" style="29"/>
    <col min="6402" max="6402" width="11.28515625" style="29" customWidth="1"/>
    <col min="6403" max="6403" width="18" style="29" customWidth="1"/>
    <col min="6404" max="6404" width="45.140625" style="29" customWidth="1"/>
    <col min="6405" max="6657" width="9.140625" style="29"/>
    <col min="6658" max="6658" width="11.28515625" style="29" customWidth="1"/>
    <col min="6659" max="6659" width="18" style="29" customWidth="1"/>
    <col min="6660" max="6660" width="45.140625" style="29" customWidth="1"/>
    <col min="6661" max="6913" width="9.140625" style="29"/>
    <col min="6914" max="6914" width="11.28515625" style="29" customWidth="1"/>
    <col min="6915" max="6915" width="18" style="29" customWidth="1"/>
    <col min="6916" max="6916" width="45.140625" style="29" customWidth="1"/>
    <col min="6917" max="7169" width="9.140625" style="29"/>
    <col min="7170" max="7170" width="11.28515625" style="29" customWidth="1"/>
    <col min="7171" max="7171" width="18" style="29" customWidth="1"/>
    <col min="7172" max="7172" width="45.140625" style="29" customWidth="1"/>
    <col min="7173" max="7425" width="9.140625" style="29"/>
    <col min="7426" max="7426" width="11.28515625" style="29" customWidth="1"/>
    <col min="7427" max="7427" width="18" style="29" customWidth="1"/>
    <col min="7428" max="7428" width="45.140625" style="29" customWidth="1"/>
    <col min="7429" max="7681" width="9.140625" style="29"/>
    <col min="7682" max="7682" width="11.28515625" style="29" customWidth="1"/>
    <col min="7683" max="7683" width="18" style="29" customWidth="1"/>
    <col min="7684" max="7684" width="45.140625" style="29" customWidth="1"/>
    <col min="7685" max="7937" width="9.140625" style="29"/>
    <col min="7938" max="7938" width="11.28515625" style="29" customWidth="1"/>
    <col min="7939" max="7939" width="18" style="29" customWidth="1"/>
    <col min="7940" max="7940" width="45.140625" style="29" customWidth="1"/>
    <col min="7941" max="8193" width="9.140625" style="29"/>
    <col min="8194" max="8194" width="11.28515625" style="29" customWidth="1"/>
    <col min="8195" max="8195" width="18" style="29" customWidth="1"/>
    <col min="8196" max="8196" width="45.140625" style="29" customWidth="1"/>
    <col min="8197" max="8449" width="9.140625" style="29"/>
    <col min="8450" max="8450" width="11.28515625" style="29" customWidth="1"/>
    <col min="8451" max="8451" width="18" style="29" customWidth="1"/>
    <col min="8452" max="8452" width="45.140625" style="29" customWidth="1"/>
    <col min="8453" max="8705" width="9.140625" style="29"/>
    <col min="8706" max="8706" width="11.28515625" style="29" customWidth="1"/>
    <col min="8707" max="8707" width="18" style="29" customWidth="1"/>
    <col min="8708" max="8708" width="45.140625" style="29" customWidth="1"/>
    <col min="8709" max="8961" width="9.140625" style="29"/>
    <col min="8962" max="8962" width="11.28515625" style="29" customWidth="1"/>
    <col min="8963" max="8963" width="18" style="29" customWidth="1"/>
    <col min="8964" max="8964" width="45.140625" style="29" customWidth="1"/>
    <col min="8965" max="9217" width="9.140625" style="29"/>
    <col min="9218" max="9218" width="11.28515625" style="29" customWidth="1"/>
    <col min="9219" max="9219" width="18" style="29" customWidth="1"/>
    <col min="9220" max="9220" width="45.140625" style="29" customWidth="1"/>
    <col min="9221" max="9473" width="9.140625" style="29"/>
    <col min="9474" max="9474" width="11.28515625" style="29" customWidth="1"/>
    <col min="9475" max="9475" width="18" style="29" customWidth="1"/>
    <col min="9476" max="9476" width="45.140625" style="29" customWidth="1"/>
    <col min="9477" max="9729" width="9.140625" style="29"/>
    <col min="9730" max="9730" width="11.28515625" style="29" customWidth="1"/>
    <col min="9731" max="9731" width="18" style="29" customWidth="1"/>
    <col min="9732" max="9732" width="45.140625" style="29" customWidth="1"/>
    <col min="9733" max="9985" width="9.140625" style="29"/>
    <col min="9986" max="9986" width="11.28515625" style="29" customWidth="1"/>
    <col min="9987" max="9987" width="18" style="29" customWidth="1"/>
    <col min="9988" max="9988" width="45.140625" style="29" customWidth="1"/>
    <col min="9989" max="10241" width="9.140625" style="29"/>
    <col min="10242" max="10242" width="11.28515625" style="29" customWidth="1"/>
    <col min="10243" max="10243" width="18" style="29" customWidth="1"/>
    <col min="10244" max="10244" width="45.140625" style="29" customWidth="1"/>
    <col min="10245" max="10497" width="9.140625" style="29"/>
    <col min="10498" max="10498" width="11.28515625" style="29" customWidth="1"/>
    <col min="10499" max="10499" width="18" style="29" customWidth="1"/>
    <col min="10500" max="10500" width="45.140625" style="29" customWidth="1"/>
    <col min="10501" max="10753" width="9.140625" style="29"/>
    <col min="10754" max="10754" width="11.28515625" style="29" customWidth="1"/>
    <col min="10755" max="10755" width="18" style="29" customWidth="1"/>
    <col min="10756" max="10756" width="45.140625" style="29" customWidth="1"/>
    <col min="10757" max="11009" width="9.140625" style="29"/>
    <col min="11010" max="11010" width="11.28515625" style="29" customWidth="1"/>
    <col min="11011" max="11011" width="18" style="29" customWidth="1"/>
    <col min="11012" max="11012" width="45.140625" style="29" customWidth="1"/>
    <col min="11013" max="11265" width="9.140625" style="29"/>
    <col min="11266" max="11266" width="11.28515625" style="29" customWidth="1"/>
    <col min="11267" max="11267" width="18" style="29" customWidth="1"/>
    <col min="11268" max="11268" width="45.140625" style="29" customWidth="1"/>
    <col min="11269" max="11521" width="9.140625" style="29"/>
    <col min="11522" max="11522" width="11.28515625" style="29" customWidth="1"/>
    <col min="11523" max="11523" width="18" style="29" customWidth="1"/>
    <col min="11524" max="11524" width="45.140625" style="29" customWidth="1"/>
    <col min="11525" max="11777" width="9.140625" style="29"/>
    <col min="11778" max="11778" width="11.28515625" style="29" customWidth="1"/>
    <col min="11779" max="11779" width="18" style="29" customWidth="1"/>
    <col min="11780" max="11780" width="45.140625" style="29" customWidth="1"/>
    <col min="11781" max="12033" width="9.140625" style="29"/>
    <col min="12034" max="12034" width="11.28515625" style="29" customWidth="1"/>
    <col min="12035" max="12035" width="18" style="29" customWidth="1"/>
    <col min="12036" max="12036" width="45.140625" style="29" customWidth="1"/>
    <col min="12037" max="12289" width="9.140625" style="29"/>
    <col min="12290" max="12290" width="11.28515625" style="29" customWidth="1"/>
    <col min="12291" max="12291" width="18" style="29" customWidth="1"/>
    <col min="12292" max="12292" width="45.140625" style="29" customWidth="1"/>
    <col min="12293" max="12545" width="9.140625" style="29"/>
    <col min="12546" max="12546" width="11.28515625" style="29" customWidth="1"/>
    <col min="12547" max="12547" width="18" style="29" customWidth="1"/>
    <col min="12548" max="12548" width="45.140625" style="29" customWidth="1"/>
    <col min="12549" max="12801" width="9.140625" style="29"/>
    <col min="12802" max="12802" width="11.28515625" style="29" customWidth="1"/>
    <col min="12803" max="12803" width="18" style="29" customWidth="1"/>
    <col min="12804" max="12804" width="45.140625" style="29" customWidth="1"/>
    <col min="12805" max="13057" width="9.140625" style="29"/>
    <col min="13058" max="13058" width="11.28515625" style="29" customWidth="1"/>
    <col min="13059" max="13059" width="18" style="29" customWidth="1"/>
    <col min="13060" max="13060" width="45.140625" style="29" customWidth="1"/>
    <col min="13061" max="13313" width="9.140625" style="29"/>
    <col min="13314" max="13314" width="11.28515625" style="29" customWidth="1"/>
    <col min="13315" max="13315" width="18" style="29" customWidth="1"/>
    <col min="13316" max="13316" width="45.140625" style="29" customWidth="1"/>
    <col min="13317" max="13569" width="9.140625" style="29"/>
    <col min="13570" max="13570" width="11.28515625" style="29" customWidth="1"/>
    <col min="13571" max="13571" width="18" style="29" customWidth="1"/>
    <col min="13572" max="13572" width="45.140625" style="29" customWidth="1"/>
    <col min="13573" max="13825" width="9.140625" style="29"/>
    <col min="13826" max="13826" width="11.28515625" style="29" customWidth="1"/>
    <col min="13827" max="13827" width="18" style="29" customWidth="1"/>
    <col min="13828" max="13828" width="45.140625" style="29" customWidth="1"/>
    <col min="13829" max="14081" width="9.140625" style="29"/>
    <col min="14082" max="14082" width="11.28515625" style="29" customWidth="1"/>
    <col min="14083" max="14083" width="18" style="29" customWidth="1"/>
    <col min="14084" max="14084" width="45.140625" style="29" customWidth="1"/>
    <col min="14085" max="14337" width="9.140625" style="29"/>
    <col min="14338" max="14338" width="11.28515625" style="29" customWidth="1"/>
    <col min="14339" max="14339" width="18" style="29" customWidth="1"/>
    <col min="14340" max="14340" width="45.140625" style="29" customWidth="1"/>
    <col min="14341" max="14593" width="9.140625" style="29"/>
    <col min="14594" max="14594" width="11.28515625" style="29" customWidth="1"/>
    <col min="14595" max="14595" width="18" style="29" customWidth="1"/>
    <col min="14596" max="14596" width="45.140625" style="29" customWidth="1"/>
    <col min="14597" max="14849" width="9.140625" style="29"/>
    <col min="14850" max="14850" width="11.28515625" style="29" customWidth="1"/>
    <col min="14851" max="14851" width="18" style="29" customWidth="1"/>
    <col min="14852" max="14852" width="45.140625" style="29" customWidth="1"/>
    <col min="14853" max="15105" width="9.140625" style="29"/>
    <col min="15106" max="15106" width="11.28515625" style="29" customWidth="1"/>
    <col min="15107" max="15107" width="18" style="29" customWidth="1"/>
    <col min="15108" max="15108" width="45.140625" style="29" customWidth="1"/>
    <col min="15109" max="15361" width="9.140625" style="29"/>
    <col min="15362" max="15362" width="11.28515625" style="29" customWidth="1"/>
    <col min="15363" max="15363" width="18" style="29" customWidth="1"/>
    <col min="15364" max="15364" width="45.140625" style="29" customWidth="1"/>
    <col min="15365" max="15617" width="9.140625" style="29"/>
    <col min="15618" max="15618" width="11.28515625" style="29" customWidth="1"/>
    <col min="15619" max="15619" width="18" style="29" customWidth="1"/>
    <col min="15620" max="15620" width="45.140625" style="29" customWidth="1"/>
    <col min="15621" max="15873" width="9.140625" style="29"/>
    <col min="15874" max="15874" width="11.28515625" style="29" customWidth="1"/>
    <col min="15875" max="15875" width="18" style="29" customWidth="1"/>
    <col min="15876" max="15876" width="45.140625" style="29" customWidth="1"/>
    <col min="15877" max="16129" width="9.140625" style="29"/>
    <col min="16130" max="16130" width="11.28515625" style="29" customWidth="1"/>
    <col min="16131" max="16131" width="18" style="29" customWidth="1"/>
    <col min="16132" max="16132" width="45.140625" style="29" customWidth="1"/>
    <col min="16133" max="16384" width="9.140625" style="29"/>
  </cols>
  <sheetData>
    <row r="2" spans="2:4" ht="18" x14ac:dyDescent="0.35">
      <c r="B2" s="15" t="s">
        <v>272</v>
      </c>
      <c r="C2" s="16" t="s">
        <v>273</v>
      </c>
      <c r="D2" s="25" t="s">
        <v>274</v>
      </c>
    </row>
    <row r="3" spans="2:4" ht="15" x14ac:dyDescent="0.2">
      <c r="B3" s="31">
        <v>36892</v>
      </c>
      <c r="C3" s="6" t="s">
        <v>275</v>
      </c>
      <c r="D3" s="10" t="s">
        <v>276</v>
      </c>
    </row>
    <row r="4" spans="2:4" ht="15" x14ac:dyDescent="0.2">
      <c r="B4" s="31">
        <v>36948</v>
      </c>
      <c r="C4" s="6" t="s">
        <v>275</v>
      </c>
      <c r="D4" s="10" t="s">
        <v>277</v>
      </c>
    </row>
    <row r="5" spans="2:4" ht="15" x14ac:dyDescent="0.2">
      <c r="B5" s="31">
        <v>36949</v>
      </c>
      <c r="C5" s="6" t="s">
        <v>278</v>
      </c>
      <c r="D5" s="10" t="s">
        <v>277</v>
      </c>
    </row>
    <row r="6" spans="2:4" ht="15" x14ac:dyDescent="0.2">
      <c r="B6" s="31">
        <v>36994</v>
      </c>
      <c r="C6" s="6" t="s">
        <v>279</v>
      </c>
      <c r="D6" s="10" t="s">
        <v>280</v>
      </c>
    </row>
    <row r="7" spans="2:4" ht="15" x14ac:dyDescent="0.2">
      <c r="B7" s="31">
        <v>37002</v>
      </c>
      <c r="C7" s="6" t="s">
        <v>281</v>
      </c>
      <c r="D7" s="10" t="s">
        <v>282</v>
      </c>
    </row>
    <row r="8" spans="2:4" ht="15" x14ac:dyDescent="0.2">
      <c r="B8" s="31">
        <v>37012</v>
      </c>
      <c r="C8" s="6" t="s">
        <v>278</v>
      </c>
      <c r="D8" s="10" t="s">
        <v>283</v>
      </c>
    </row>
    <row r="9" spans="2:4" ht="15" x14ac:dyDescent="0.2">
      <c r="B9" s="31">
        <v>37056</v>
      </c>
      <c r="C9" s="6" t="s">
        <v>284</v>
      </c>
      <c r="D9" s="10" t="s">
        <v>285</v>
      </c>
    </row>
    <row r="10" spans="2:4" ht="15" x14ac:dyDescent="0.2">
      <c r="B10" s="31">
        <v>37141</v>
      </c>
      <c r="C10" s="6" t="s">
        <v>279</v>
      </c>
      <c r="D10" s="10" t="s">
        <v>286</v>
      </c>
    </row>
    <row r="11" spans="2:4" ht="15" x14ac:dyDescent="0.2">
      <c r="B11" s="31">
        <v>37176</v>
      </c>
      <c r="C11" s="6" t="s">
        <v>279</v>
      </c>
      <c r="D11" s="10" t="s">
        <v>287</v>
      </c>
    </row>
    <row r="12" spans="2:4" ht="15" x14ac:dyDescent="0.2">
      <c r="B12" s="31">
        <v>37197</v>
      </c>
      <c r="C12" s="6" t="s">
        <v>279</v>
      </c>
      <c r="D12" s="10" t="s">
        <v>288</v>
      </c>
    </row>
    <row r="13" spans="2:4" ht="15" x14ac:dyDescent="0.2">
      <c r="B13" s="31">
        <v>37210</v>
      </c>
      <c r="C13" s="6" t="s">
        <v>284</v>
      </c>
      <c r="D13" s="10" t="s">
        <v>289</v>
      </c>
    </row>
    <row r="14" spans="2:4" ht="15" x14ac:dyDescent="0.2">
      <c r="B14" s="31">
        <v>37250</v>
      </c>
      <c r="C14" s="6" t="s">
        <v>278</v>
      </c>
      <c r="D14" s="10" t="s">
        <v>290</v>
      </c>
    </row>
    <row r="15" spans="2:4" ht="15" x14ac:dyDescent="0.2">
      <c r="B15" s="31">
        <v>37257</v>
      </c>
      <c r="C15" s="6" t="s">
        <v>278</v>
      </c>
      <c r="D15" s="10" t="s">
        <v>276</v>
      </c>
    </row>
    <row r="16" spans="2:4" ht="15" x14ac:dyDescent="0.2">
      <c r="B16" s="31">
        <v>37298</v>
      </c>
      <c r="C16" s="6" t="s">
        <v>275</v>
      </c>
      <c r="D16" s="10" t="s">
        <v>277</v>
      </c>
    </row>
    <row r="17" spans="2:4" ht="15" x14ac:dyDescent="0.2">
      <c r="B17" s="31">
        <v>37299</v>
      </c>
      <c r="C17" s="6" t="s">
        <v>278</v>
      </c>
      <c r="D17" s="10" t="s">
        <v>277</v>
      </c>
    </row>
    <row r="18" spans="2:4" ht="15" x14ac:dyDescent="0.2">
      <c r="B18" s="31">
        <v>37344</v>
      </c>
      <c r="C18" s="6" t="s">
        <v>279</v>
      </c>
      <c r="D18" s="10" t="s">
        <v>280</v>
      </c>
    </row>
    <row r="19" spans="2:4" ht="15" x14ac:dyDescent="0.2">
      <c r="B19" s="31">
        <v>37367</v>
      </c>
      <c r="C19" s="6" t="s">
        <v>291</v>
      </c>
      <c r="D19" s="10" t="s">
        <v>282</v>
      </c>
    </row>
    <row r="20" spans="2:4" ht="15" x14ac:dyDescent="0.2">
      <c r="B20" s="31">
        <v>37377</v>
      </c>
      <c r="C20" s="6" t="s">
        <v>292</v>
      </c>
      <c r="D20" s="10" t="s">
        <v>283</v>
      </c>
    </row>
    <row r="21" spans="2:4" ht="15" x14ac:dyDescent="0.2">
      <c r="B21" s="31">
        <v>37406</v>
      </c>
      <c r="C21" s="6" t="s">
        <v>284</v>
      </c>
      <c r="D21" s="10" t="s">
        <v>285</v>
      </c>
    </row>
    <row r="22" spans="2:4" ht="15" x14ac:dyDescent="0.2">
      <c r="B22" s="31">
        <v>37506</v>
      </c>
      <c r="C22" s="6" t="s">
        <v>281</v>
      </c>
      <c r="D22" s="10" t="s">
        <v>286</v>
      </c>
    </row>
    <row r="23" spans="2:4" ht="15" x14ac:dyDescent="0.2">
      <c r="B23" s="31">
        <v>37541</v>
      </c>
      <c r="C23" s="6" t="s">
        <v>281</v>
      </c>
      <c r="D23" s="10" t="s">
        <v>287</v>
      </c>
    </row>
    <row r="24" spans="2:4" ht="15" x14ac:dyDescent="0.2">
      <c r="B24" s="31">
        <v>37562</v>
      </c>
      <c r="C24" s="6" t="s">
        <v>281</v>
      </c>
      <c r="D24" s="10" t="s">
        <v>288</v>
      </c>
    </row>
    <row r="25" spans="2:4" ht="15" x14ac:dyDescent="0.2">
      <c r="B25" s="31">
        <v>37575</v>
      </c>
      <c r="C25" s="6" t="s">
        <v>279</v>
      </c>
      <c r="D25" s="10" t="s">
        <v>289</v>
      </c>
    </row>
    <row r="26" spans="2:4" ht="15" x14ac:dyDescent="0.2">
      <c r="B26" s="31">
        <v>37615</v>
      </c>
      <c r="C26" s="6" t="s">
        <v>292</v>
      </c>
      <c r="D26" s="10" t="s">
        <v>290</v>
      </c>
    </row>
    <row r="27" spans="2:4" ht="15" x14ac:dyDescent="0.2">
      <c r="B27" s="31">
        <v>37622</v>
      </c>
      <c r="C27" s="6" t="s">
        <v>292</v>
      </c>
      <c r="D27" s="10" t="s">
        <v>276</v>
      </c>
    </row>
    <row r="28" spans="2:4" ht="15" x14ac:dyDescent="0.2">
      <c r="B28" s="31">
        <v>37683</v>
      </c>
      <c r="C28" s="6" t="s">
        <v>275</v>
      </c>
      <c r="D28" s="10" t="s">
        <v>277</v>
      </c>
    </row>
    <row r="29" spans="2:4" ht="15" x14ac:dyDescent="0.2">
      <c r="B29" s="31">
        <v>37684</v>
      </c>
      <c r="C29" s="6" t="s">
        <v>278</v>
      </c>
      <c r="D29" s="10" t="s">
        <v>277</v>
      </c>
    </row>
    <row r="30" spans="2:4" ht="15" x14ac:dyDescent="0.2">
      <c r="B30" s="31">
        <v>37729</v>
      </c>
      <c r="C30" s="6" t="s">
        <v>279</v>
      </c>
      <c r="D30" s="10" t="s">
        <v>280</v>
      </c>
    </row>
    <row r="31" spans="2:4" ht="15" x14ac:dyDescent="0.2">
      <c r="B31" s="31">
        <v>37732</v>
      </c>
      <c r="C31" s="6" t="s">
        <v>275</v>
      </c>
      <c r="D31" s="10" t="s">
        <v>282</v>
      </c>
    </row>
    <row r="32" spans="2:4" ht="15" x14ac:dyDescent="0.2">
      <c r="B32" s="31">
        <v>37742</v>
      </c>
      <c r="C32" s="6" t="s">
        <v>284</v>
      </c>
      <c r="D32" s="10" t="s">
        <v>283</v>
      </c>
    </row>
    <row r="33" spans="2:4" ht="15" x14ac:dyDescent="0.2">
      <c r="B33" s="31">
        <v>37791</v>
      </c>
      <c r="C33" s="6" t="s">
        <v>284</v>
      </c>
      <c r="D33" s="10" t="s">
        <v>285</v>
      </c>
    </row>
    <row r="34" spans="2:4" ht="15" x14ac:dyDescent="0.2">
      <c r="B34" s="31">
        <v>37871</v>
      </c>
      <c r="C34" s="6" t="s">
        <v>291</v>
      </c>
      <c r="D34" s="10" t="s">
        <v>286</v>
      </c>
    </row>
    <row r="35" spans="2:4" ht="15" x14ac:dyDescent="0.2">
      <c r="B35" s="31">
        <v>37906</v>
      </c>
      <c r="C35" s="6" t="s">
        <v>291</v>
      </c>
      <c r="D35" s="10" t="s">
        <v>287</v>
      </c>
    </row>
    <row r="36" spans="2:4" ht="15" x14ac:dyDescent="0.2">
      <c r="B36" s="31">
        <v>37927</v>
      </c>
      <c r="C36" s="6" t="s">
        <v>291</v>
      </c>
      <c r="D36" s="10" t="s">
        <v>288</v>
      </c>
    </row>
    <row r="37" spans="2:4" ht="15" x14ac:dyDescent="0.2">
      <c r="B37" s="31">
        <v>37940</v>
      </c>
      <c r="C37" s="6" t="s">
        <v>281</v>
      </c>
      <c r="D37" s="10" t="s">
        <v>289</v>
      </c>
    </row>
    <row r="38" spans="2:4" ht="15" x14ac:dyDescent="0.2">
      <c r="B38" s="31">
        <v>37980</v>
      </c>
      <c r="C38" s="6" t="s">
        <v>284</v>
      </c>
      <c r="D38" s="10" t="s">
        <v>290</v>
      </c>
    </row>
    <row r="39" spans="2:4" ht="15" x14ac:dyDescent="0.2">
      <c r="B39" s="31">
        <v>37987</v>
      </c>
      <c r="C39" s="6" t="s">
        <v>284</v>
      </c>
      <c r="D39" s="10" t="s">
        <v>276</v>
      </c>
    </row>
    <row r="40" spans="2:4" ht="15" x14ac:dyDescent="0.2">
      <c r="B40" s="31">
        <v>38040</v>
      </c>
      <c r="C40" s="6" t="s">
        <v>275</v>
      </c>
      <c r="D40" s="10" t="s">
        <v>277</v>
      </c>
    </row>
    <row r="41" spans="2:4" ht="15" x14ac:dyDescent="0.2">
      <c r="B41" s="31">
        <v>38041</v>
      </c>
      <c r="C41" s="6" t="s">
        <v>278</v>
      </c>
      <c r="D41" s="10" t="s">
        <v>277</v>
      </c>
    </row>
    <row r="42" spans="2:4" ht="15" x14ac:dyDescent="0.2">
      <c r="B42" s="31">
        <v>38086</v>
      </c>
      <c r="C42" s="6" t="s">
        <v>279</v>
      </c>
      <c r="D42" s="10" t="s">
        <v>280</v>
      </c>
    </row>
    <row r="43" spans="2:4" ht="15" x14ac:dyDescent="0.2">
      <c r="B43" s="31">
        <v>38098</v>
      </c>
      <c r="C43" s="6" t="s">
        <v>292</v>
      </c>
      <c r="D43" s="10" t="s">
        <v>282</v>
      </c>
    </row>
    <row r="44" spans="2:4" ht="15" x14ac:dyDescent="0.2">
      <c r="B44" s="31">
        <v>38108</v>
      </c>
      <c r="C44" s="6" t="s">
        <v>281</v>
      </c>
      <c r="D44" s="10" t="s">
        <v>283</v>
      </c>
    </row>
    <row r="45" spans="2:4" ht="15" x14ac:dyDescent="0.2">
      <c r="B45" s="31">
        <v>38148</v>
      </c>
      <c r="C45" s="6" t="s">
        <v>284</v>
      </c>
      <c r="D45" s="10" t="s">
        <v>285</v>
      </c>
    </row>
    <row r="46" spans="2:4" ht="15" x14ac:dyDescent="0.2">
      <c r="B46" s="31">
        <v>38237</v>
      </c>
      <c r="C46" s="6" t="s">
        <v>278</v>
      </c>
      <c r="D46" s="10" t="s">
        <v>286</v>
      </c>
    </row>
    <row r="47" spans="2:4" ht="15" x14ac:dyDescent="0.2">
      <c r="B47" s="31">
        <v>38272</v>
      </c>
      <c r="C47" s="6" t="s">
        <v>278</v>
      </c>
      <c r="D47" s="10" t="s">
        <v>287</v>
      </c>
    </row>
    <row r="48" spans="2:4" ht="15" x14ac:dyDescent="0.2">
      <c r="B48" s="31">
        <v>38293</v>
      </c>
      <c r="C48" s="6" t="s">
        <v>278</v>
      </c>
      <c r="D48" s="10" t="s">
        <v>288</v>
      </c>
    </row>
    <row r="49" spans="2:4" ht="15" x14ac:dyDescent="0.2">
      <c r="B49" s="31">
        <v>38306</v>
      </c>
      <c r="C49" s="6" t="s">
        <v>275</v>
      </c>
      <c r="D49" s="10" t="s">
        <v>289</v>
      </c>
    </row>
    <row r="50" spans="2:4" ht="15" x14ac:dyDescent="0.2">
      <c r="B50" s="31">
        <v>38346</v>
      </c>
      <c r="C50" s="6" t="s">
        <v>281</v>
      </c>
      <c r="D50" s="10" t="s">
        <v>290</v>
      </c>
    </row>
    <row r="51" spans="2:4" ht="15" x14ac:dyDescent="0.2">
      <c r="B51" s="31">
        <v>38353</v>
      </c>
      <c r="C51" s="6" t="s">
        <v>281</v>
      </c>
      <c r="D51" s="10" t="s">
        <v>276</v>
      </c>
    </row>
    <row r="52" spans="2:4" ht="15" x14ac:dyDescent="0.2">
      <c r="B52" s="31">
        <v>38390</v>
      </c>
      <c r="C52" s="6" t="s">
        <v>275</v>
      </c>
      <c r="D52" s="10" t="s">
        <v>277</v>
      </c>
    </row>
    <row r="53" spans="2:4" ht="15" x14ac:dyDescent="0.2">
      <c r="B53" s="31">
        <v>38391</v>
      </c>
      <c r="C53" s="6" t="s">
        <v>278</v>
      </c>
      <c r="D53" s="10" t="s">
        <v>277</v>
      </c>
    </row>
    <row r="54" spans="2:4" ht="15" x14ac:dyDescent="0.2">
      <c r="B54" s="31">
        <v>38436</v>
      </c>
      <c r="C54" s="6" t="s">
        <v>279</v>
      </c>
      <c r="D54" s="10" t="s">
        <v>280</v>
      </c>
    </row>
    <row r="55" spans="2:4" ht="15" x14ac:dyDescent="0.2">
      <c r="B55" s="31">
        <v>38463</v>
      </c>
      <c r="C55" s="6" t="s">
        <v>284</v>
      </c>
      <c r="D55" s="10" t="s">
        <v>282</v>
      </c>
    </row>
    <row r="56" spans="2:4" ht="15" x14ac:dyDescent="0.2">
      <c r="B56" s="31">
        <v>38473</v>
      </c>
      <c r="C56" s="6" t="s">
        <v>291</v>
      </c>
      <c r="D56" s="10" t="s">
        <v>283</v>
      </c>
    </row>
    <row r="57" spans="2:4" ht="15" x14ac:dyDescent="0.2">
      <c r="B57" s="31">
        <v>38498</v>
      </c>
      <c r="C57" s="6" t="s">
        <v>284</v>
      </c>
      <c r="D57" s="10" t="s">
        <v>285</v>
      </c>
    </row>
    <row r="58" spans="2:4" ht="15" x14ac:dyDescent="0.2">
      <c r="B58" s="31">
        <v>38602</v>
      </c>
      <c r="C58" s="6" t="s">
        <v>292</v>
      </c>
      <c r="D58" s="10" t="s">
        <v>286</v>
      </c>
    </row>
    <row r="59" spans="2:4" ht="15" x14ac:dyDescent="0.2">
      <c r="B59" s="31">
        <v>38637</v>
      </c>
      <c r="C59" s="6" t="s">
        <v>292</v>
      </c>
      <c r="D59" s="10" t="s">
        <v>287</v>
      </c>
    </row>
    <row r="60" spans="2:4" ht="15" x14ac:dyDescent="0.2">
      <c r="B60" s="31">
        <v>38658</v>
      </c>
      <c r="C60" s="6" t="s">
        <v>292</v>
      </c>
      <c r="D60" s="10" t="s">
        <v>288</v>
      </c>
    </row>
    <row r="61" spans="2:4" ht="15" x14ac:dyDescent="0.2">
      <c r="B61" s="31">
        <v>38671</v>
      </c>
      <c r="C61" s="6" t="s">
        <v>278</v>
      </c>
      <c r="D61" s="10" t="s">
        <v>289</v>
      </c>
    </row>
    <row r="62" spans="2:4" ht="15" x14ac:dyDescent="0.2">
      <c r="B62" s="31">
        <v>38711</v>
      </c>
      <c r="C62" s="6" t="s">
        <v>291</v>
      </c>
      <c r="D62" s="10" t="s">
        <v>290</v>
      </c>
    </row>
    <row r="63" spans="2:4" ht="15" x14ac:dyDescent="0.2">
      <c r="B63" s="31">
        <v>38718</v>
      </c>
      <c r="C63" s="6" t="s">
        <v>291</v>
      </c>
      <c r="D63" s="10" t="s">
        <v>276</v>
      </c>
    </row>
    <row r="64" spans="2:4" ht="15" x14ac:dyDescent="0.2">
      <c r="B64" s="31">
        <v>38775</v>
      </c>
      <c r="C64" s="6" t="s">
        <v>275</v>
      </c>
      <c r="D64" s="10" t="s">
        <v>277</v>
      </c>
    </row>
    <row r="65" spans="2:4" ht="15" x14ac:dyDescent="0.2">
      <c r="B65" s="31">
        <v>38776</v>
      </c>
      <c r="C65" s="6" t="s">
        <v>278</v>
      </c>
      <c r="D65" s="10" t="s">
        <v>277</v>
      </c>
    </row>
    <row r="66" spans="2:4" ht="15" x14ac:dyDescent="0.2">
      <c r="B66" s="31">
        <v>38821</v>
      </c>
      <c r="C66" s="6" t="s">
        <v>279</v>
      </c>
      <c r="D66" s="10" t="s">
        <v>280</v>
      </c>
    </row>
    <row r="67" spans="2:4" ht="15" x14ac:dyDescent="0.2">
      <c r="B67" s="31">
        <v>38828</v>
      </c>
      <c r="C67" s="6" t="s">
        <v>279</v>
      </c>
      <c r="D67" s="10" t="s">
        <v>282</v>
      </c>
    </row>
    <row r="68" spans="2:4" ht="15" x14ac:dyDescent="0.2">
      <c r="B68" s="31">
        <v>38838</v>
      </c>
      <c r="C68" s="6" t="s">
        <v>275</v>
      </c>
      <c r="D68" s="10" t="s">
        <v>283</v>
      </c>
    </row>
    <row r="69" spans="2:4" ht="15" x14ac:dyDescent="0.2">
      <c r="B69" s="31">
        <v>38883</v>
      </c>
      <c r="C69" s="6" t="s">
        <v>284</v>
      </c>
      <c r="D69" s="10" t="s">
        <v>285</v>
      </c>
    </row>
    <row r="70" spans="2:4" ht="15" x14ac:dyDescent="0.2">
      <c r="B70" s="31">
        <v>38967</v>
      </c>
      <c r="C70" s="6" t="s">
        <v>284</v>
      </c>
      <c r="D70" s="10" t="s">
        <v>286</v>
      </c>
    </row>
    <row r="71" spans="2:4" ht="15" x14ac:dyDescent="0.2">
      <c r="B71" s="31">
        <v>39002</v>
      </c>
      <c r="C71" s="6" t="s">
        <v>284</v>
      </c>
      <c r="D71" s="10" t="s">
        <v>287</v>
      </c>
    </row>
    <row r="72" spans="2:4" ht="15" x14ac:dyDescent="0.2">
      <c r="B72" s="31">
        <v>39023</v>
      </c>
      <c r="C72" s="6" t="s">
        <v>284</v>
      </c>
      <c r="D72" s="10" t="s">
        <v>288</v>
      </c>
    </row>
    <row r="73" spans="2:4" ht="15" x14ac:dyDescent="0.2">
      <c r="B73" s="31">
        <v>39036</v>
      </c>
      <c r="C73" s="6" t="s">
        <v>292</v>
      </c>
      <c r="D73" s="10" t="s">
        <v>289</v>
      </c>
    </row>
    <row r="74" spans="2:4" ht="15" x14ac:dyDescent="0.2">
      <c r="B74" s="31">
        <v>39076</v>
      </c>
      <c r="C74" s="6" t="s">
        <v>275</v>
      </c>
      <c r="D74" s="10" t="s">
        <v>290</v>
      </c>
    </row>
    <row r="75" spans="2:4" ht="15" x14ac:dyDescent="0.2">
      <c r="B75" s="31">
        <v>39083</v>
      </c>
      <c r="C75" s="6" t="s">
        <v>275</v>
      </c>
      <c r="D75" s="10" t="s">
        <v>276</v>
      </c>
    </row>
    <row r="76" spans="2:4" ht="15" x14ac:dyDescent="0.2">
      <c r="B76" s="31">
        <v>39132</v>
      </c>
      <c r="C76" s="6" t="s">
        <v>275</v>
      </c>
      <c r="D76" s="10" t="s">
        <v>277</v>
      </c>
    </row>
    <row r="77" spans="2:4" ht="15" x14ac:dyDescent="0.2">
      <c r="B77" s="31">
        <v>39133</v>
      </c>
      <c r="C77" s="6" t="s">
        <v>278</v>
      </c>
      <c r="D77" s="10" t="s">
        <v>277</v>
      </c>
    </row>
    <row r="78" spans="2:4" ht="15" x14ac:dyDescent="0.2">
      <c r="B78" s="31">
        <v>39178</v>
      </c>
      <c r="C78" s="6" t="s">
        <v>279</v>
      </c>
      <c r="D78" s="10" t="s">
        <v>280</v>
      </c>
    </row>
    <row r="79" spans="2:4" ht="15" x14ac:dyDescent="0.2">
      <c r="B79" s="31">
        <v>39193</v>
      </c>
      <c r="C79" s="6" t="s">
        <v>281</v>
      </c>
      <c r="D79" s="10" t="s">
        <v>282</v>
      </c>
    </row>
    <row r="80" spans="2:4" ht="15" x14ac:dyDescent="0.2">
      <c r="B80" s="31">
        <v>39203</v>
      </c>
      <c r="C80" s="6" t="s">
        <v>278</v>
      </c>
      <c r="D80" s="10" t="s">
        <v>283</v>
      </c>
    </row>
    <row r="81" spans="2:4" ht="15" x14ac:dyDescent="0.2">
      <c r="B81" s="31">
        <v>39240</v>
      </c>
      <c r="C81" s="6" t="s">
        <v>284</v>
      </c>
      <c r="D81" s="10" t="s">
        <v>285</v>
      </c>
    </row>
    <row r="82" spans="2:4" ht="15" x14ac:dyDescent="0.2">
      <c r="B82" s="31">
        <v>39332</v>
      </c>
      <c r="C82" s="6" t="s">
        <v>279</v>
      </c>
      <c r="D82" s="10" t="s">
        <v>286</v>
      </c>
    </row>
    <row r="83" spans="2:4" ht="15" x14ac:dyDescent="0.2">
      <c r="B83" s="31">
        <v>39367</v>
      </c>
      <c r="C83" s="6" t="s">
        <v>279</v>
      </c>
      <c r="D83" s="10" t="s">
        <v>287</v>
      </c>
    </row>
    <row r="84" spans="2:4" ht="15" x14ac:dyDescent="0.2">
      <c r="B84" s="31">
        <v>39388</v>
      </c>
      <c r="C84" s="6" t="s">
        <v>279</v>
      </c>
      <c r="D84" s="10" t="s">
        <v>288</v>
      </c>
    </row>
    <row r="85" spans="2:4" ht="15" x14ac:dyDescent="0.2">
      <c r="B85" s="31">
        <v>39401</v>
      </c>
      <c r="C85" s="6" t="s">
        <v>284</v>
      </c>
      <c r="D85" s="10" t="s">
        <v>289</v>
      </c>
    </row>
    <row r="86" spans="2:4" ht="15" x14ac:dyDescent="0.2">
      <c r="B86" s="31">
        <v>39441</v>
      </c>
      <c r="C86" s="6" t="s">
        <v>278</v>
      </c>
      <c r="D86" s="10" t="s">
        <v>290</v>
      </c>
    </row>
    <row r="87" spans="2:4" ht="15" x14ac:dyDescent="0.2">
      <c r="B87" s="31">
        <v>39448</v>
      </c>
      <c r="C87" s="6" t="s">
        <v>278</v>
      </c>
      <c r="D87" s="10" t="s">
        <v>276</v>
      </c>
    </row>
    <row r="88" spans="2:4" ht="15" x14ac:dyDescent="0.2">
      <c r="B88" s="31">
        <v>39482</v>
      </c>
      <c r="C88" s="6" t="s">
        <v>275</v>
      </c>
      <c r="D88" s="10" t="s">
        <v>277</v>
      </c>
    </row>
    <row r="89" spans="2:4" ht="15" x14ac:dyDescent="0.2">
      <c r="B89" s="31">
        <v>39483</v>
      </c>
      <c r="C89" s="6" t="s">
        <v>278</v>
      </c>
      <c r="D89" s="10" t="s">
        <v>277</v>
      </c>
    </row>
    <row r="90" spans="2:4" ht="15" x14ac:dyDescent="0.2">
      <c r="B90" s="31">
        <v>39528</v>
      </c>
      <c r="C90" s="6" t="s">
        <v>279</v>
      </c>
      <c r="D90" s="10" t="s">
        <v>280</v>
      </c>
    </row>
    <row r="91" spans="2:4" ht="15" x14ac:dyDescent="0.2">
      <c r="B91" s="31">
        <v>39559</v>
      </c>
      <c r="C91" s="6" t="s">
        <v>275</v>
      </c>
      <c r="D91" s="10" t="s">
        <v>282</v>
      </c>
    </row>
    <row r="92" spans="2:4" ht="15" x14ac:dyDescent="0.2">
      <c r="B92" s="31">
        <v>39569</v>
      </c>
      <c r="C92" s="6" t="s">
        <v>284</v>
      </c>
      <c r="D92" s="10" t="s">
        <v>283</v>
      </c>
    </row>
    <row r="93" spans="2:4" ht="15" x14ac:dyDescent="0.2">
      <c r="B93" s="31">
        <v>39590</v>
      </c>
      <c r="C93" s="6" t="s">
        <v>284</v>
      </c>
      <c r="D93" s="10" t="s">
        <v>285</v>
      </c>
    </row>
    <row r="94" spans="2:4" ht="15" x14ac:dyDescent="0.2">
      <c r="B94" s="31">
        <v>39698</v>
      </c>
      <c r="C94" s="6" t="s">
        <v>291</v>
      </c>
      <c r="D94" s="10" t="s">
        <v>286</v>
      </c>
    </row>
    <row r="95" spans="2:4" ht="15" x14ac:dyDescent="0.2">
      <c r="B95" s="31">
        <v>39733</v>
      </c>
      <c r="C95" s="6" t="s">
        <v>291</v>
      </c>
      <c r="D95" s="10" t="s">
        <v>287</v>
      </c>
    </row>
    <row r="96" spans="2:4" ht="15" x14ac:dyDescent="0.2">
      <c r="B96" s="31">
        <v>39754</v>
      </c>
      <c r="C96" s="6" t="s">
        <v>291</v>
      </c>
      <c r="D96" s="10" t="s">
        <v>288</v>
      </c>
    </row>
    <row r="97" spans="2:4" ht="15" x14ac:dyDescent="0.2">
      <c r="B97" s="31">
        <v>39767</v>
      </c>
      <c r="C97" s="6" t="s">
        <v>281</v>
      </c>
      <c r="D97" s="10" t="s">
        <v>289</v>
      </c>
    </row>
    <row r="98" spans="2:4" ht="15" x14ac:dyDescent="0.2">
      <c r="B98" s="31">
        <v>39807</v>
      </c>
      <c r="C98" s="6" t="s">
        <v>284</v>
      </c>
      <c r="D98" s="10" t="s">
        <v>290</v>
      </c>
    </row>
    <row r="99" spans="2:4" ht="15" x14ac:dyDescent="0.2">
      <c r="B99" s="31">
        <v>39814</v>
      </c>
      <c r="C99" s="6" t="s">
        <v>284</v>
      </c>
      <c r="D99" s="10" t="s">
        <v>276</v>
      </c>
    </row>
    <row r="100" spans="2:4" ht="15" x14ac:dyDescent="0.2">
      <c r="B100" s="31">
        <v>39867</v>
      </c>
      <c r="C100" s="6" t="s">
        <v>275</v>
      </c>
      <c r="D100" s="10" t="s">
        <v>277</v>
      </c>
    </row>
    <row r="101" spans="2:4" ht="15" x14ac:dyDescent="0.2">
      <c r="B101" s="31">
        <v>39868</v>
      </c>
      <c r="C101" s="6" t="s">
        <v>278</v>
      </c>
      <c r="D101" s="10" t="s">
        <v>277</v>
      </c>
    </row>
    <row r="102" spans="2:4" ht="15" x14ac:dyDescent="0.2">
      <c r="B102" s="31">
        <v>39913</v>
      </c>
      <c r="C102" s="6" t="s">
        <v>279</v>
      </c>
      <c r="D102" s="10" t="s">
        <v>280</v>
      </c>
    </row>
    <row r="103" spans="2:4" ht="15" x14ac:dyDescent="0.2">
      <c r="B103" s="31">
        <v>39924</v>
      </c>
      <c r="C103" s="6" t="s">
        <v>278</v>
      </c>
      <c r="D103" s="10" t="s">
        <v>282</v>
      </c>
    </row>
    <row r="104" spans="2:4" ht="15" x14ac:dyDescent="0.2">
      <c r="B104" s="31">
        <v>39934</v>
      </c>
      <c r="C104" s="6" t="s">
        <v>279</v>
      </c>
      <c r="D104" s="10" t="s">
        <v>283</v>
      </c>
    </row>
    <row r="105" spans="2:4" ht="15" x14ac:dyDescent="0.2">
      <c r="B105" s="31">
        <v>39975</v>
      </c>
      <c r="C105" s="6" t="s">
        <v>284</v>
      </c>
      <c r="D105" s="10" t="s">
        <v>285</v>
      </c>
    </row>
    <row r="106" spans="2:4" ht="15" x14ac:dyDescent="0.2">
      <c r="B106" s="31">
        <v>40063</v>
      </c>
      <c r="C106" s="6" t="s">
        <v>275</v>
      </c>
      <c r="D106" s="10" t="s">
        <v>286</v>
      </c>
    </row>
    <row r="107" spans="2:4" ht="15" x14ac:dyDescent="0.2">
      <c r="B107" s="31">
        <v>40098</v>
      </c>
      <c r="C107" s="6" t="s">
        <v>275</v>
      </c>
      <c r="D107" s="10" t="s">
        <v>287</v>
      </c>
    </row>
    <row r="108" spans="2:4" ht="15" x14ac:dyDescent="0.2">
      <c r="B108" s="31">
        <v>40119</v>
      </c>
      <c r="C108" s="6" t="s">
        <v>275</v>
      </c>
      <c r="D108" s="10" t="s">
        <v>288</v>
      </c>
    </row>
    <row r="109" spans="2:4" ht="15" x14ac:dyDescent="0.2">
      <c r="B109" s="31">
        <v>40132</v>
      </c>
      <c r="C109" s="6" t="s">
        <v>291</v>
      </c>
      <c r="D109" s="10" t="s">
        <v>289</v>
      </c>
    </row>
    <row r="110" spans="2:4" ht="15" x14ac:dyDescent="0.2">
      <c r="B110" s="31">
        <v>40172</v>
      </c>
      <c r="C110" s="6" t="s">
        <v>279</v>
      </c>
      <c r="D110" s="10" t="s">
        <v>290</v>
      </c>
    </row>
    <row r="111" spans="2:4" ht="15" x14ac:dyDescent="0.2">
      <c r="B111" s="31">
        <v>40179</v>
      </c>
      <c r="C111" s="6" t="s">
        <v>279</v>
      </c>
      <c r="D111" s="10" t="s">
        <v>276</v>
      </c>
    </row>
    <row r="112" spans="2:4" ht="15" x14ac:dyDescent="0.2">
      <c r="B112" s="31">
        <v>40224</v>
      </c>
      <c r="C112" s="6" t="s">
        <v>275</v>
      </c>
      <c r="D112" s="10" t="s">
        <v>277</v>
      </c>
    </row>
    <row r="113" spans="2:4" ht="15" x14ac:dyDescent="0.2">
      <c r="B113" s="31">
        <v>40225</v>
      </c>
      <c r="C113" s="6" t="s">
        <v>278</v>
      </c>
      <c r="D113" s="10" t="s">
        <v>277</v>
      </c>
    </row>
    <row r="114" spans="2:4" ht="15" x14ac:dyDescent="0.2">
      <c r="B114" s="31">
        <v>40270</v>
      </c>
      <c r="C114" s="6" t="s">
        <v>279</v>
      </c>
      <c r="D114" s="10" t="s">
        <v>280</v>
      </c>
    </row>
    <row r="115" spans="2:4" ht="15" x14ac:dyDescent="0.2">
      <c r="B115" s="31">
        <v>40289</v>
      </c>
      <c r="C115" s="6" t="s">
        <v>292</v>
      </c>
      <c r="D115" s="10" t="s">
        <v>282</v>
      </c>
    </row>
    <row r="116" spans="2:4" ht="15" x14ac:dyDescent="0.2">
      <c r="B116" s="31">
        <v>40299</v>
      </c>
      <c r="C116" s="6" t="s">
        <v>281</v>
      </c>
      <c r="D116" s="10" t="s">
        <v>283</v>
      </c>
    </row>
    <row r="117" spans="2:4" ht="15" x14ac:dyDescent="0.2">
      <c r="B117" s="31">
        <v>40332</v>
      </c>
      <c r="C117" s="6" t="s">
        <v>284</v>
      </c>
      <c r="D117" s="10" t="s">
        <v>285</v>
      </c>
    </row>
    <row r="118" spans="2:4" ht="15" x14ac:dyDescent="0.2">
      <c r="B118" s="31">
        <v>40428</v>
      </c>
      <c r="C118" s="6" t="s">
        <v>278</v>
      </c>
      <c r="D118" s="10" t="s">
        <v>286</v>
      </c>
    </row>
    <row r="119" spans="2:4" ht="15" x14ac:dyDescent="0.2">
      <c r="B119" s="31">
        <v>40463</v>
      </c>
      <c r="C119" s="6" t="s">
        <v>278</v>
      </c>
      <c r="D119" s="10" t="s">
        <v>287</v>
      </c>
    </row>
    <row r="120" spans="2:4" ht="15" x14ac:dyDescent="0.2">
      <c r="B120" s="31">
        <v>40484</v>
      </c>
      <c r="C120" s="6" t="s">
        <v>278</v>
      </c>
      <c r="D120" s="10" t="s">
        <v>288</v>
      </c>
    </row>
    <row r="121" spans="2:4" ht="15" x14ac:dyDescent="0.2">
      <c r="B121" s="31">
        <v>40497</v>
      </c>
      <c r="C121" s="6" t="s">
        <v>275</v>
      </c>
      <c r="D121" s="10" t="s">
        <v>289</v>
      </c>
    </row>
    <row r="122" spans="2:4" ht="15" x14ac:dyDescent="0.2">
      <c r="B122" s="31">
        <v>40537</v>
      </c>
      <c r="C122" s="6" t="s">
        <v>281</v>
      </c>
      <c r="D122" s="10" t="s">
        <v>290</v>
      </c>
    </row>
    <row r="123" spans="2:4" ht="15" x14ac:dyDescent="0.2">
      <c r="B123" s="31">
        <v>40544</v>
      </c>
      <c r="C123" s="6" t="s">
        <v>281</v>
      </c>
      <c r="D123" s="10" t="s">
        <v>276</v>
      </c>
    </row>
    <row r="124" spans="2:4" ht="15" x14ac:dyDescent="0.2">
      <c r="B124" s="31">
        <v>40609</v>
      </c>
      <c r="C124" s="6" t="s">
        <v>275</v>
      </c>
      <c r="D124" s="10" t="s">
        <v>277</v>
      </c>
    </row>
    <row r="125" spans="2:4" ht="15" x14ac:dyDescent="0.2">
      <c r="B125" s="31">
        <v>40610</v>
      </c>
      <c r="C125" s="6" t="s">
        <v>278</v>
      </c>
      <c r="D125" s="10" t="s">
        <v>277</v>
      </c>
    </row>
    <row r="126" spans="2:4" ht="15" x14ac:dyDescent="0.2">
      <c r="B126" s="31">
        <v>40654</v>
      </c>
      <c r="C126" s="6" t="s">
        <v>284</v>
      </c>
      <c r="D126" s="10" t="s">
        <v>280</v>
      </c>
    </row>
    <row r="127" spans="2:4" ht="15" x14ac:dyDescent="0.2">
      <c r="B127" s="31">
        <v>40655</v>
      </c>
      <c r="C127" s="6" t="s">
        <v>279</v>
      </c>
      <c r="D127" s="10" t="s">
        <v>282</v>
      </c>
    </row>
    <row r="128" spans="2:4" ht="15" x14ac:dyDescent="0.2">
      <c r="B128" s="31">
        <v>40664</v>
      </c>
      <c r="C128" s="6" t="s">
        <v>291</v>
      </c>
      <c r="D128" s="10" t="s">
        <v>283</v>
      </c>
    </row>
    <row r="129" spans="2:4" ht="15" x14ac:dyDescent="0.2">
      <c r="B129" s="31">
        <v>40717</v>
      </c>
      <c r="C129" s="6" t="s">
        <v>284</v>
      </c>
      <c r="D129" s="10" t="s">
        <v>285</v>
      </c>
    </row>
    <row r="130" spans="2:4" ht="15" x14ac:dyDescent="0.2">
      <c r="B130" s="31">
        <v>40793</v>
      </c>
      <c r="C130" s="6" t="s">
        <v>292</v>
      </c>
      <c r="D130" s="10" t="s">
        <v>286</v>
      </c>
    </row>
    <row r="131" spans="2:4" ht="15" x14ac:dyDescent="0.2">
      <c r="B131" s="31">
        <v>40828</v>
      </c>
      <c r="C131" s="6" t="s">
        <v>292</v>
      </c>
      <c r="D131" s="10" t="s">
        <v>287</v>
      </c>
    </row>
    <row r="132" spans="2:4" ht="15" x14ac:dyDescent="0.2">
      <c r="B132" s="31">
        <v>40849</v>
      </c>
      <c r="C132" s="6" t="s">
        <v>292</v>
      </c>
      <c r="D132" s="10" t="s">
        <v>288</v>
      </c>
    </row>
    <row r="133" spans="2:4" ht="15" x14ac:dyDescent="0.2">
      <c r="B133" s="31">
        <v>40862</v>
      </c>
      <c r="C133" s="6" t="s">
        <v>278</v>
      </c>
      <c r="D133" s="10" t="s">
        <v>289</v>
      </c>
    </row>
    <row r="134" spans="2:4" ht="15" x14ac:dyDescent="0.2">
      <c r="B134" s="31">
        <v>40902</v>
      </c>
      <c r="C134" s="6" t="s">
        <v>291</v>
      </c>
      <c r="D134" s="10" t="s">
        <v>290</v>
      </c>
    </row>
    <row r="135" spans="2:4" ht="15" x14ac:dyDescent="0.2">
      <c r="B135" s="31">
        <v>40909</v>
      </c>
      <c r="C135" s="6" t="s">
        <v>291</v>
      </c>
      <c r="D135" s="10" t="s">
        <v>276</v>
      </c>
    </row>
    <row r="136" spans="2:4" ht="15" x14ac:dyDescent="0.2">
      <c r="B136" s="31">
        <v>40959</v>
      </c>
      <c r="C136" s="6" t="s">
        <v>275</v>
      </c>
      <c r="D136" s="10" t="s">
        <v>277</v>
      </c>
    </row>
    <row r="137" spans="2:4" ht="15" x14ac:dyDescent="0.2">
      <c r="B137" s="31">
        <v>40960</v>
      </c>
      <c r="C137" s="6" t="s">
        <v>278</v>
      </c>
      <c r="D137" s="10" t="s">
        <v>277</v>
      </c>
    </row>
    <row r="138" spans="2:4" ht="15" x14ac:dyDescent="0.2">
      <c r="B138" s="31">
        <v>41005</v>
      </c>
      <c r="C138" s="6" t="s">
        <v>279</v>
      </c>
      <c r="D138" s="10" t="s">
        <v>280</v>
      </c>
    </row>
    <row r="139" spans="2:4" ht="15" x14ac:dyDescent="0.2">
      <c r="B139" s="31">
        <v>41020</v>
      </c>
      <c r="C139" s="6" t="s">
        <v>281</v>
      </c>
      <c r="D139" s="10" t="s">
        <v>282</v>
      </c>
    </row>
    <row r="140" spans="2:4" ht="15" x14ac:dyDescent="0.2">
      <c r="B140" s="31">
        <v>41030</v>
      </c>
      <c r="C140" s="6" t="s">
        <v>278</v>
      </c>
      <c r="D140" s="10" t="s">
        <v>283</v>
      </c>
    </row>
    <row r="141" spans="2:4" ht="15" x14ac:dyDescent="0.2">
      <c r="B141" s="31">
        <v>41067</v>
      </c>
      <c r="C141" s="6" t="s">
        <v>284</v>
      </c>
      <c r="D141" s="10" t="s">
        <v>285</v>
      </c>
    </row>
    <row r="142" spans="2:4" ht="15" x14ac:dyDescent="0.2">
      <c r="B142" s="31">
        <v>41159</v>
      </c>
      <c r="C142" s="6" t="s">
        <v>279</v>
      </c>
      <c r="D142" s="10" t="s">
        <v>286</v>
      </c>
    </row>
    <row r="143" spans="2:4" ht="15" x14ac:dyDescent="0.2">
      <c r="B143" s="31">
        <v>41194</v>
      </c>
      <c r="C143" s="6" t="s">
        <v>279</v>
      </c>
      <c r="D143" s="10" t="s">
        <v>287</v>
      </c>
    </row>
    <row r="144" spans="2:4" ht="15" x14ac:dyDescent="0.2">
      <c r="B144" s="31">
        <v>41215</v>
      </c>
      <c r="C144" s="6" t="s">
        <v>279</v>
      </c>
      <c r="D144" s="10" t="s">
        <v>288</v>
      </c>
    </row>
    <row r="145" spans="2:4" ht="15" x14ac:dyDescent="0.2">
      <c r="B145" s="31">
        <v>41228</v>
      </c>
      <c r="C145" s="6" t="s">
        <v>284</v>
      </c>
      <c r="D145" s="10" t="s">
        <v>289</v>
      </c>
    </row>
    <row r="146" spans="2:4" ht="15" x14ac:dyDescent="0.2">
      <c r="B146" s="31">
        <v>41268</v>
      </c>
      <c r="C146" s="6" t="s">
        <v>278</v>
      </c>
      <c r="D146" s="10" t="s">
        <v>290</v>
      </c>
    </row>
    <row r="147" spans="2:4" ht="15" x14ac:dyDescent="0.2">
      <c r="B147" s="31">
        <v>41275</v>
      </c>
      <c r="C147" s="6" t="s">
        <v>278</v>
      </c>
      <c r="D147" s="10" t="s">
        <v>276</v>
      </c>
    </row>
    <row r="148" spans="2:4" ht="15" x14ac:dyDescent="0.2">
      <c r="B148" s="31">
        <v>41316</v>
      </c>
      <c r="C148" s="6" t="s">
        <v>275</v>
      </c>
      <c r="D148" s="10" t="s">
        <v>277</v>
      </c>
    </row>
    <row r="149" spans="2:4" ht="15" x14ac:dyDescent="0.2">
      <c r="B149" s="31">
        <v>41317</v>
      </c>
      <c r="C149" s="6" t="s">
        <v>278</v>
      </c>
      <c r="D149" s="10" t="s">
        <v>277</v>
      </c>
    </row>
    <row r="150" spans="2:4" ht="15" x14ac:dyDescent="0.2">
      <c r="B150" s="31">
        <v>41362</v>
      </c>
      <c r="C150" s="6" t="s">
        <v>279</v>
      </c>
      <c r="D150" s="10" t="s">
        <v>280</v>
      </c>
    </row>
    <row r="151" spans="2:4" ht="15" x14ac:dyDescent="0.2">
      <c r="B151" s="31">
        <v>41385</v>
      </c>
      <c r="C151" s="6" t="s">
        <v>291</v>
      </c>
      <c r="D151" s="10" t="s">
        <v>282</v>
      </c>
    </row>
    <row r="152" spans="2:4" ht="15" x14ac:dyDescent="0.2">
      <c r="B152" s="31">
        <v>41395</v>
      </c>
      <c r="C152" s="6" t="s">
        <v>292</v>
      </c>
      <c r="D152" s="10" t="s">
        <v>283</v>
      </c>
    </row>
    <row r="153" spans="2:4" ht="15" x14ac:dyDescent="0.2">
      <c r="B153" s="31">
        <v>41424</v>
      </c>
      <c r="C153" s="6" t="s">
        <v>284</v>
      </c>
      <c r="D153" s="10" t="s">
        <v>285</v>
      </c>
    </row>
    <row r="154" spans="2:4" ht="15" x14ac:dyDescent="0.2">
      <c r="B154" s="31">
        <v>41524</v>
      </c>
      <c r="C154" s="6" t="s">
        <v>281</v>
      </c>
      <c r="D154" s="10" t="s">
        <v>286</v>
      </c>
    </row>
    <row r="155" spans="2:4" ht="15" x14ac:dyDescent="0.2">
      <c r="B155" s="31">
        <v>41559</v>
      </c>
      <c r="C155" s="6" t="s">
        <v>281</v>
      </c>
      <c r="D155" s="10" t="s">
        <v>287</v>
      </c>
    </row>
    <row r="156" spans="2:4" ht="15" x14ac:dyDescent="0.2">
      <c r="B156" s="31">
        <v>41580</v>
      </c>
      <c r="C156" s="6" t="s">
        <v>281</v>
      </c>
      <c r="D156" s="10" t="s">
        <v>288</v>
      </c>
    </row>
    <row r="157" spans="2:4" ht="15" x14ac:dyDescent="0.2">
      <c r="B157" s="31">
        <v>41593</v>
      </c>
      <c r="C157" s="6" t="s">
        <v>279</v>
      </c>
      <c r="D157" s="10" t="s">
        <v>289</v>
      </c>
    </row>
    <row r="158" spans="2:4" ht="15" x14ac:dyDescent="0.2">
      <c r="B158" s="31">
        <v>41633</v>
      </c>
      <c r="C158" s="6" t="s">
        <v>292</v>
      </c>
      <c r="D158" s="10" t="s">
        <v>290</v>
      </c>
    </row>
    <row r="159" spans="2:4" ht="15" x14ac:dyDescent="0.2">
      <c r="B159" s="31">
        <v>41640</v>
      </c>
      <c r="C159" s="6" t="s">
        <v>292</v>
      </c>
      <c r="D159" s="10" t="s">
        <v>276</v>
      </c>
    </row>
    <row r="160" spans="2:4" ht="15" x14ac:dyDescent="0.2">
      <c r="B160" s="31">
        <v>41701</v>
      </c>
      <c r="C160" s="6" t="s">
        <v>275</v>
      </c>
      <c r="D160" s="10" t="s">
        <v>277</v>
      </c>
    </row>
    <row r="161" spans="2:4" ht="15" x14ac:dyDescent="0.2">
      <c r="B161" s="31">
        <v>41702</v>
      </c>
      <c r="C161" s="6" t="s">
        <v>278</v>
      </c>
      <c r="D161" s="10" t="s">
        <v>277</v>
      </c>
    </row>
    <row r="162" spans="2:4" ht="15" x14ac:dyDescent="0.2">
      <c r="B162" s="31">
        <v>41747</v>
      </c>
      <c r="C162" s="6" t="s">
        <v>279</v>
      </c>
      <c r="D162" s="10" t="s">
        <v>280</v>
      </c>
    </row>
    <row r="163" spans="2:4" ht="15" x14ac:dyDescent="0.2">
      <c r="B163" s="31">
        <v>41750</v>
      </c>
      <c r="C163" s="6" t="s">
        <v>275</v>
      </c>
      <c r="D163" s="10" t="s">
        <v>282</v>
      </c>
    </row>
    <row r="164" spans="2:4" ht="15" x14ac:dyDescent="0.2">
      <c r="B164" s="31">
        <v>41760</v>
      </c>
      <c r="C164" s="6" t="s">
        <v>284</v>
      </c>
      <c r="D164" s="10" t="s">
        <v>283</v>
      </c>
    </row>
    <row r="165" spans="2:4" ht="15" x14ac:dyDescent="0.2">
      <c r="B165" s="31">
        <v>41809</v>
      </c>
      <c r="C165" s="6" t="s">
        <v>284</v>
      </c>
      <c r="D165" s="10" t="s">
        <v>285</v>
      </c>
    </row>
    <row r="166" spans="2:4" ht="15" x14ac:dyDescent="0.2">
      <c r="B166" s="31">
        <v>41889</v>
      </c>
      <c r="C166" s="6" t="s">
        <v>291</v>
      </c>
      <c r="D166" s="10" t="s">
        <v>286</v>
      </c>
    </row>
    <row r="167" spans="2:4" ht="15" x14ac:dyDescent="0.2">
      <c r="B167" s="31">
        <v>41924</v>
      </c>
      <c r="C167" s="6" t="s">
        <v>291</v>
      </c>
      <c r="D167" s="10" t="s">
        <v>287</v>
      </c>
    </row>
    <row r="168" spans="2:4" ht="15" x14ac:dyDescent="0.2">
      <c r="B168" s="31">
        <v>41945</v>
      </c>
      <c r="C168" s="6" t="s">
        <v>291</v>
      </c>
      <c r="D168" s="10" t="s">
        <v>288</v>
      </c>
    </row>
    <row r="169" spans="2:4" ht="15" x14ac:dyDescent="0.2">
      <c r="B169" s="31">
        <v>41958</v>
      </c>
      <c r="C169" s="6" t="s">
        <v>281</v>
      </c>
      <c r="D169" s="10" t="s">
        <v>289</v>
      </c>
    </row>
    <row r="170" spans="2:4" ht="15" x14ac:dyDescent="0.2">
      <c r="B170" s="31">
        <v>41998</v>
      </c>
      <c r="C170" s="6" t="s">
        <v>284</v>
      </c>
      <c r="D170" s="10" t="s">
        <v>290</v>
      </c>
    </row>
    <row r="171" spans="2:4" ht="15" x14ac:dyDescent="0.2">
      <c r="B171" s="31">
        <v>42005</v>
      </c>
      <c r="C171" s="6" t="s">
        <v>284</v>
      </c>
      <c r="D171" s="10" t="s">
        <v>276</v>
      </c>
    </row>
    <row r="172" spans="2:4" ht="15" x14ac:dyDescent="0.2">
      <c r="B172" s="31">
        <v>42051</v>
      </c>
      <c r="C172" s="6" t="s">
        <v>275</v>
      </c>
      <c r="D172" s="10" t="s">
        <v>277</v>
      </c>
    </row>
    <row r="173" spans="2:4" ht="15" x14ac:dyDescent="0.2">
      <c r="B173" s="31">
        <v>42052</v>
      </c>
      <c r="C173" s="6" t="s">
        <v>278</v>
      </c>
      <c r="D173" s="10" t="s">
        <v>277</v>
      </c>
    </row>
    <row r="174" spans="2:4" ht="15" x14ac:dyDescent="0.2">
      <c r="B174" s="31">
        <v>42097</v>
      </c>
      <c r="C174" s="6" t="s">
        <v>279</v>
      </c>
      <c r="D174" s="10" t="s">
        <v>280</v>
      </c>
    </row>
    <row r="175" spans="2:4" ht="15" x14ac:dyDescent="0.2">
      <c r="B175" s="31">
        <v>42115</v>
      </c>
      <c r="C175" s="6" t="s">
        <v>278</v>
      </c>
      <c r="D175" s="10" t="s">
        <v>282</v>
      </c>
    </row>
    <row r="176" spans="2:4" ht="15" x14ac:dyDescent="0.2">
      <c r="B176" s="31">
        <v>42125</v>
      </c>
      <c r="C176" s="6" t="s">
        <v>279</v>
      </c>
      <c r="D176" s="10" t="s">
        <v>283</v>
      </c>
    </row>
    <row r="177" spans="2:4" ht="15" x14ac:dyDescent="0.2">
      <c r="B177" s="31">
        <v>42159</v>
      </c>
      <c r="C177" s="6" t="s">
        <v>284</v>
      </c>
      <c r="D177" s="10" t="s">
        <v>285</v>
      </c>
    </row>
    <row r="178" spans="2:4" ht="15" x14ac:dyDescent="0.2">
      <c r="B178" s="31">
        <v>42254</v>
      </c>
      <c r="C178" s="6" t="s">
        <v>275</v>
      </c>
      <c r="D178" s="10" t="s">
        <v>286</v>
      </c>
    </row>
    <row r="179" spans="2:4" ht="15" x14ac:dyDescent="0.2">
      <c r="B179" s="31">
        <v>42289</v>
      </c>
      <c r="C179" s="6" t="s">
        <v>275</v>
      </c>
      <c r="D179" s="10" t="s">
        <v>287</v>
      </c>
    </row>
    <row r="180" spans="2:4" ht="15" x14ac:dyDescent="0.2">
      <c r="B180" s="31">
        <v>42310</v>
      </c>
      <c r="C180" s="6" t="s">
        <v>275</v>
      </c>
      <c r="D180" s="10" t="s">
        <v>288</v>
      </c>
    </row>
    <row r="181" spans="2:4" ht="15" x14ac:dyDescent="0.2">
      <c r="B181" s="31">
        <v>42323</v>
      </c>
      <c r="C181" s="6" t="s">
        <v>291</v>
      </c>
      <c r="D181" s="10" t="s">
        <v>289</v>
      </c>
    </row>
    <row r="182" spans="2:4" ht="15" x14ac:dyDescent="0.2">
      <c r="B182" s="31">
        <v>42363</v>
      </c>
      <c r="C182" s="6" t="s">
        <v>279</v>
      </c>
      <c r="D182" s="10" t="s">
        <v>290</v>
      </c>
    </row>
    <row r="183" spans="2:4" ht="15" x14ac:dyDescent="0.2">
      <c r="B183" s="31">
        <v>42370</v>
      </c>
      <c r="C183" s="6" t="s">
        <v>279</v>
      </c>
      <c r="D183" s="10" t="s">
        <v>276</v>
      </c>
    </row>
    <row r="184" spans="2:4" ht="15" x14ac:dyDescent="0.2">
      <c r="B184" s="31">
        <v>42408</v>
      </c>
      <c r="C184" s="6" t="s">
        <v>275</v>
      </c>
      <c r="D184" s="10" t="s">
        <v>277</v>
      </c>
    </row>
    <row r="185" spans="2:4" ht="15" x14ac:dyDescent="0.2">
      <c r="B185" s="31">
        <v>42409</v>
      </c>
      <c r="C185" s="6" t="s">
        <v>278</v>
      </c>
      <c r="D185" s="10" t="s">
        <v>277</v>
      </c>
    </row>
    <row r="186" spans="2:4" ht="15" x14ac:dyDescent="0.2">
      <c r="B186" s="31">
        <v>42454</v>
      </c>
      <c r="C186" s="6" t="s">
        <v>279</v>
      </c>
      <c r="D186" s="10" t="s">
        <v>280</v>
      </c>
    </row>
    <row r="187" spans="2:4" ht="15" x14ac:dyDescent="0.2">
      <c r="B187" s="31">
        <v>42481</v>
      </c>
      <c r="C187" s="6" t="s">
        <v>284</v>
      </c>
      <c r="D187" s="10" t="s">
        <v>282</v>
      </c>
    </row>
    <row r="188" spans="2:4" ht="15" x14ac:dyDescent="0.2">
      <c r="B188" s="31">
        <v>42491</v>
      </c>
      <c r="C188" s="6" t="s">
        <v>291</v>
      </c>
      <c r="D188" s="10" t="s">
        <v>283</v>
      </c>
    </row>
    <row r="189" spans="2:4" ht="15" x14ac:dyDescent="0.2">
      <c r="B189" s="31">
        <v>42516</v>
      </c>
      <c r="C189" s="6" t="s">
        <v>284</v>
      </c>
      <c r="D189" s="10" t="s">
        <v>285</v>
      </c>
    </row>
    <row r="190" spans="2:4" ht="15" x14ac:dyDescent="0.2">
      <c r="B190" s="31">
        <v>42620</v>
      </c>
      <c r="C190" s="6" t="s">
        <v>292</v>
      </c>
      <c r="D190" s="10" t="s">
        <v>286</v>
      </c>
    </row>
    <row r="191" spans="2:4" ht="15" x14ac:dyDescent="0.2">
      <c r="B191" s="31">
        <v>42655</v>
      </c>
      <c r="C191" s="6" t="s">
        <v>292</v>
      </c>
      <c r="D191" s="10" t="s">
        <v>287</v>
      </c>
    </row>
    <row r="192" spans="2:4" ht="15" x14ac:dyDescent="0.2">
      <c r="B192" s="31">
        <v>42676</v>
      </c>
      <c r="C192" s="6" t="s">
        <v>292</v>
      </c>
      <c r="D192" s="10" t="s">
        <v>288</v>
      </c>
    </row>
    <row r="193" spans="2:4" ht="15" x14ac:dyDescent="0.2">
      <c r="B193" s="31">
        <v>42689</v>
      </c>
      <c r="C193" s="6" t="s">
        <v>278</v>
      </c>
      <c r="D193" s="10" t="s">
        <v>289</v>
      </c>
    </row>
    <row r="194" spans="2:4" ht="15" x14ac:dyDescent="0.2">
      <c r="B194" s="31">
        <v>42729</v>
      </c>
      <c r="C194" s="6" t="s">
        <v>291</v>
      </c>
      <c r="D194" s="10" t="s">
        <v>290</v>
      </c>
    </row>
    <row r="195" spans="2:4" ht="15" x14ac:dyDescent="0.2">
      <c r="B195" s="31">
        <v>42736</v>
      </c>
      <c r="C195" s="6" t="s">
        <v>291</v>
      </c>
      <c r="D195" s="10" t="s">
        <v>276</v>
      </c>
    </row>
    <row r="196" spans="2:4" ht="15" x14ac:dyDescent="0.2">
      <c r="B196" s="31">
        <v>42793</v>
      </c>
      <c r="C196" s="6" t="s">
        <v>275</v>
      </c>
      <c r="D196" s="10" t="s">
        <v>277</v>
      </c>
    </row>
    <row r="197" spans="2:4" ht="15" x14ac:dyDescent="0.2">
      <c r="B197" s="31">
        <v>42794</v>
      </c>
      <c r="C197" s="6" t="s">
        <v>278</v>
      </c>
      <c r="D197" s="10" t="s">
        <v>277</v>
      </c>
    </row>
    <row r="198" spans="2:4" ht="15" x14ac:dyDescent="0.2">
      <c r="B198" s="31">
        <v>42839</v>
      </c>
      <c r="C198" s="6" t="s">
        <v>279</v>
      </c>
      <c r="D198" s="10" t="s">
        <v>280</v>
      </c>
    </row>
    <row r="199" spans="2:4" ht="15" x14ac:dyDescent="0.2">
      <c r="B199" s="31">
        <v>42846</v>
      </c>
      <c r="C199" s="6" t="s">
        <v>279</v>
      </c>
      <c r="D199" s="10" t="s">
        <v>282</v>
      </c>
    </row>
    <row r="200" spans="2:4" ht="15" x14ac:dyDescent="0.2">
      <c r="B200" s="31">
        <v>42856</v>
      </c>
      <c r="C200" s="6" t="s">
        <v>275</v>
      </c>
      <c r="D200" s="10" t="s">
        <v>283</v>
      </c>
    </row>
    <row r="201" spans="2:4" ht="15" x14ac:dyDescent="0.2">
      <c r="B201" s="31">
        <v>42901</v>
      </c>
      <c r="C201" s="6" t="s">
        <v>284</v>
      </c>
      <c r="D201" s="10" t="s">
        <v>285</v>
      </c>
    </row>
    <row r="202" spans="2:4" ht="15" x14ac:dyDescent="0.2">
      <c r="B202" s="31">
        <v>42985</v>
      </c>
      <c r="C202" s="6" t="s">
        <v>284</v>
      </c>
      <c r="D202" s="10" t="s">
        <v>286</v>
      </c>
    </row>
    <row r="203" spans="2:4" ht="15" x14ac:dyDescent="0.2">
      <c r="B203" s="31">
        <v>43020</v>
      </c>
      <c r="C203" s="6" t="s">
        <v>284</v>
      </c>
      <c r="D203" s="10" t="s">
        <v>287</v>
      </c>
    </row>
    <row r="204" spans="2:4" ht="15" x14ac:dyDescent="0.2">
      <c r="B204" s="31">
        <v>43041</v>
      </c>
      <c r="C204" s="6" t="s">
        <v>284</v>
      </c>
      <c r="D204" s="10" t="s">
        <v>288</v>
      </c>
    </row>
    <row r="205" spans="2:4" ht="15" x14ac:dyDescent="0.2">
      <c r="B205" s="31">
        <v>43054</v>
      </c>
      <c r="C205" s="6" t="s">
        <v>292</v>
      </c>
      <c r="D205" s="10" t="s">
        <v>289</v>
      </c>
    </row>
    <row r="206" spans="2:4" ht="15" x14ac:dyDescent="0.2">
      <c r="B206" s="31">
        <v>43094</v>
      </c>
      <c r="C206" s="6" t="s">
        <v>275</v>
      </c>
      <c r="D206" s="10" t="s">
        <v>290</v>
      </c>
    </row>
    <row r="207" spans="2:4" ht="15" x14ac:dyDescent="0.2">
      <c r="B207" s="31">
        <v>43101</v>
      </c>
      <c r="C207" s="6" t="s">
        <v>275</v>
      </c>
      <c r="D207" s="10" t="s">
        <v>276</v>
      </c>
    </row>
    <row r="208" spans="2:4" ht="15" x14ac:dyDescent="0.2">
      <c r="B208" s="31">
        <v>43143</v>
      </c>
      <c r="C208" s="6" t="s">
        <v>275</v>
      </c>
      <c r="D208" s="10" t="s">
        <v>277</v>
      </c>
    </row>
    <row r="209" spans="2:4" ht="15" x14ac:dyDescent="0.2">
      <c r="B209" s="31">
        <v>43144</v>
      </c>
      <c r="C209" s="6" t="s">
        <v>278</v>
      </c>
      <c r="D209" s="10" t="s">
        <v>277</v>
      </c>
    </row>
    <row r="210" spans="2:4" ht="15" x14ac:dyDescent="0.2">
      <c r="B210" s="31">
        <v>43189</v>
      </c>
      <c r="C210" s="6" t="s">
        <v>279</v>
      </c>
      <c r="D210" s="10" t="s">
        <v>280</v>
      </c>
    </row>
    <row r="211" spans="2:4" ht="15" x14ac:dyDescent="0.2">
      <c r="B211" s="31">
        <v>43211</v>
      </c>
      <c r="C211" s="6" t="s">
        <v>281</v>
      </c>
      <c r="D211" s="10" t="s">
        <v>282</v>
      </c>
    </row>
    <row r="212" spans="2:4" ht="15" x14ac:dyDescent="0.2">
      <c r="B212" s="31">
        <v>43221</v>
      </c>
      <c r="C212" s="6" t="s">
        <v>278</v>
      </c>
      <c r="D212" s="10" t="s">
        <v>283</v>
      </c>
    </row>
    <row r="213" spans="2:4" ht="15" x14ac:dyDescent="0.2">
      <c r="B213" s="31">
        <v>43251</v>
      </c>
      <c r="C213" s="6" t="s">
        <v>284</v>
      </c>
      <c r="D213" s="10" t="s">
        <v>285</v>
      </c>
    </row>
    <row r="214" spans="2:4" ht="15" x14ac:dyDescent="0.2">
      <c r="B214" s="31">
        <v>43350</v>
      </c>
      <c r="C214" s="6" t="s">
        <v>279</v>
      </c>
      <c r="D214" s="10" t="s">
        <v>286</v>
      </c>
    </row>
    <row r="215" spans="2:4" ht="15" x14ac:dyDescent="0.2">
      <c r="B215" s="31">
        <v>43385</v>
      </c>
      <c r="C215" s="6" t="s">
        <v>279</v>
      </c>
      <c r="D215" s="10" t="s">
        <v>287</v>
      </c>
    </row>
    <row r="216" spans="2:4" ht="15" x14ac:dyDescent="0.2">
      <c r="B216" s="31">
        <v>43406</v>
      </c>
      <c r="C216" s="6" t="s">
        <v>279</v>
      </c>
      <c r="D216" s="10" t="s">
        <v>288</v>
      </c>
    </row>
    <row r="217" spans="2:4" ht="15" x14ac:dyDescent="0.2">
      <c r="B217" s="31">
        <v>43419</v>
      </c>
      <c r="C217" s="6" t="s">
        <v>284</v>
      </c>
      <c r="D217" s="10" t="s">
        <v>289</v>
      </c>
    </row>
    <row r="218" spans="2:4" ht="15" x14ac:dyDescent="0.2">
      <c r="B218" s="31">
        <v>43459</v>
      </c>
      <c r="C218" s="6" t="s">
        <v>278</v>
      </c>
      <c r="D218" s="10" t="s">
        <v>290</v>
      </c>
    </row>
    <row r="219" spans="2:4" ht="15" x14ac:dyDescent="0.2">
      <c r="B219" s="31">
        <v>43466</v>
      </c>
      <c r="C219" s="6" t="s">
        <v>278</v>
      </c>
      <c r="D219" s="10" t="s">
        <v>276</v>
      </c>
    </row>
    <row r="220" spans="2:4" ht="15" x14ac:dyDescent="0.2">
      <c r="B220" s="31">
        <v>43528</v>
      </c>
      <c r="C220" s="6" t="s">
        <v>275</v>
      </c>
      <c r="D220" s="10" t="s">
        <v>277</v>
      </c>
    </row>
    <row r="221" spans="2:4" ht="15" x14ac:dyDescent="0.2">
      <c r="B221" s="31">
        <v>43529</v>
      </c>
      <c r="C221" s="6" t="s">
        <v>278</v>
      </c>
      <c r="D221" s="10" t="s">
        <v>277</v>
      </c>
    </row>
    <row r="222" spans="2:4" ht="15" x14ac:dyDescent="0.2">
      <c r="B222" s="31">
        <v>43574</v>
      </c>
      <c r="C222" s="6" t="s">
        <v>279</v>
      </c>
      <c r="D222" s="10" t="s">
        <v>280</v>
      </c>
    </row>
    <row r="223" spans="2:4" ht="15" x14ac:dyDescent="0.2">
      <c r="B223" s="31">
        <v>43576</v>
      </c>
      <c r="C223" s="6" t="s">
        <v>291</v>
      </c>
      <c r="D223" s="10" t="s">
        <v>282</v>
      </c>
    </row>
    <row r="224" spans="2:4" ht="15" x14ac:dyDescent="0.2">
      <c r="B224" s="31">
        <v>43586</v>
      </c>
      <c r="C224" s="6" t="s">
        <v>292</v>
      </c>
      <c r="D224" s="10" t="s">
        <v>283</v>
      </c>
    </row>
    <row r="225" spans="2:4" ht="15" x14ac:dyDescent="0.2">
      <c r="B225" s="31">
        <v>43636</v>
      </c>
      <c r="C225" s="6" t="s">
        <v>284</v>
      </c>
      <c r="D225" s="10" t="s">
        <v>285</v>
      </c>
    </row>
    <row r="226" spans="2:4" ht="15" x14ac:dyDescent="0.2">
      <c r="B226" s="31">
        <v>43715</v>
      </c>
      <c r="C226" s="6" t="s">
        <v>281</v>
      </c>
      <c r="D226" s="10" t="s">
        <v>286</v>
      </c>
    </row>
    <row r="227" spans="2:4" ht="15" x14ac:dyDescent="0.2">
      <c r="B227" s="31">
        <v>43750</v>
      </c>
      <c r="C227" s="6" t="s">
        <v>281</v>
      </c>
      <c r="D227" s="10" t="s">
        <v>287</v>
      </c>
    </row>
    <row r="228" spans="2:4" ht="15" x14ac:dyDescent="0.2">
      <c r="B228" s="31">
        <v>43771</v>
      </c>
      <c r="C228" s="6" t="s">
        <v>281</v>
      </c>
      <c r="D228" s="10" t="s">
        <v>288</v>
      </c>
    </row>
    <row r="229" spans="2:4" ht="15" x14ac:dyDescent="0.2">
      <c r="B229" s="31">
        <v>43784</v>
      </c>
      <c r="C229" s="6" t="s">
        <v>279</v>
      </c>
      <c r="D229" s="10" t="s">
        <v>289</v>
      </c>
    </row>
    <row r="230" spans="2:4" ht="15" x14ac:dyDescent="0.2">
      <c r="B230" s="31">
        <v>43824</v>
      </c>
      <c r="C230" s="6" t="s">
        <v>292</v>
      </c>
      <c r="D230" s="10" t="s">
        <v>290</v>
      </c>
    </row>
    <row r="231" spans="2:4" ht="15" x14ac:dyDescent="0.2">
      <c r="B231" s="31">
        <v>43831</v>
      </c>
      <c r="C231" s="6" t="s">
        <v>292</v>
      </c>
      <c r="D231" s="10" t="s">
        <v>276</v>
      </c>
    </row>
    <row r="232" spans="2:4" ht="15" x14ac:dyDescent="0.2">
      <c r="B232" s="31">
        <v>43885</v>
      </c>
      <c r="C232" s="6" t="s">
        <v>275</v>
      </c>
      <c r="D232" s="10" t="s">
        <v>277</v>
      </c>
    </row>
    <row r="233" spans="2:4" ht="15" x14ac:dyDescent="0.2">
      <c r="B233" s="31">
        <v>43886</v>
      </c>
      <c r="C233" s="6" t="s">
        <v>278</v>
      </c>
      <c r="D233" s="10" t="s">
        <v>277</v>
      </c>
    </row>
    <row r="234" spans="2:4" ht="15" x14ac:dyDescent="0.2">
      <c r="B234" s="31">
        <v>43931</v>
      </c>
      <c r="C234" s="6" t="s">
        <v>279</v>
      </c>
      <c r="D234" s="10" t="s">
        <v>280</v>
      </c>
    </row>
    <row r="235" spans="2:4" ht="15" x14ac:dyDescent="0.2">
      <c r="B235" s="31">
        <v>43942</v>
      </c>
      <c r="C235" s="6" t="s">
        <v>278</v>
      </c>
      <c r="D235" s="10" t="s">
        <v>282</v>
      </c>
    </row>
    <row r="236" spans="2:4" ht="15" x14ac:dyDescent="0.2">
      <c r="B236" s="31">
        <v>43952</v>
      </c>
      <c r="C236" s="6" t="s">
        <v>279</v>
      </c>
      <c r="D236" s="10" t="s">
        <v>283</v>
      </c>
    </row>
    <row r="237" spans="2:4" ht="15" x14ac:dyDescent="0.2">
      <c r="B237" s="31">
        <v>43993</v>
      </c>
      <c r="C237" s="6" t="s">
        <v>284</v>
      </c>
      <c r="D237" s="10" t="s">
        <v>285</v>
      </c>
    </row>
    <row r="238" spans="2:4" ht="15" x14ac:dyDescent="0.2">
      <c r="B238" s="31">
        <v>44081</v>
      </c>
      <c r="C238" s="6" t="s">
        <v>275</v>
      </c>
      <c r="D238" s="10" t="s">
        <v>286</v>
      </c>
    </row>
    <row r="239" spans="2:4" ht="15" x14ac:dyDescent="0.2">
      <c r="B239" s="31">
        <v>44116</v>
      </c>
      <c r="C239" s="6" t="s">
        <v>275</v>
      </c>
      <c r="D239" s="10" t="s">
        <v>287</v>
      </c>
    </row>
    <row r="240" spans="2:4" ht="15" x14ac:dyDescent="0.2">
      <c r="B240" s="31">
        <v>44137</v>
      </c>
      <c r="C240" s="6" t="s">
        <v>275</v>
      </c>
      <c r="D240" s="10" t="s">
        <v>288</v>
      </c>
    </row>
    <row r="241" spans="2:4" ht="15" x14ac:dyDescent="0.2">
      <c r="B241" s="31">
        <v>44150</v>
      </c>
      <c r="C241" s="6" t="s">
        <v>291</v>
      </c>
      <c r="D241" s="10" t="s">
        <v>289</v>
      </c>
    </row>
    <row r="242" spans="2:4" ht="15" x14ac:dyDescent="0.2">
      <c r="B242" s="31">
        <v>44190</v>
      </c>
      <c r="C242" s="6" t="s">
        <v>279</v>
      </c>
      <c r="D242" s="10" t="s">
        <v>290</v>
      </c>
    </row>
    <row r="243" spans="2:4" ht="15" x14ac:dyDescent="0.2">
      <c r="B243" s="31">
        <v>44197</v>
      </c>
      <c r="C243" s="6" t="s">
        <v>279</v>
      </c>
      <c r="D243" s="10" t="s">
        <v>276</v>
      </c>
    </row>
    <row r="244" spans="2:4" ht="15" x14ac:dyDescent="0.2">
      <c r="B244" s="31">
        <v>44242</v>
      </c>
      <c r="C244" s="6" t="s">
        <v>275</v>
      </c>
      <c r="D244" s="10" t="s">
        <v>277</v>
      </c>
    </row>
    <row r="245" spans="2:4" ht="15" x14ac:dyDescent="0.2">
      <c r="B245" s="31">
        <v>44243</v>
      </c>
      <c r="C245" s="6" t="s">
        <v>278</v>
      </c>
      <c r="D245" s="10" t="s">
        <v>277</v>
      </c>
    </row>
    <row r="246" spans="2:4" ht="15" x14ac:dyDescent="0.2">
      <c r="B246" s="31">
        <v>44288</v>
      </c>
      <c r="C246" s="6" t="s">
        <v>279</v>
      </c>
      <c r="D246" s="10" t="s">
        <v>280</v>
      </c>
    </row>
    <row r="247" spans="2:4" ht="15" x14ac:dyDescent="0.2">
      <c r="B247" s="31">
        <v>44307</v>
      </c>
      <c r="C247" s="6" t="s">
        <v>292</v>
      </c>
      <c r="D247" s="10" t="s">
        <v>282</v>
      </c>
    </row>
    <row r="248" spans="2:4" ht="15" x14ac:dyDescent="0.2">
      <c r="B248" s="31">
        <v>44317</v>
      </c>
      <c r="C248" s="6" t="s">
        <v>281</v>
      </c>
      <c r="D248" s="10" t="s">
        <v>283</v>
      </c>
    </row>
    <row r="249" spans="2:4" ht="15" x14ac:dyDescent="0.2">
      <c r="B249" s="31">
        <v>44350</v>
      </c>
      <c r="C249" s="6" t="s">
        <v>284</v>
      </c>
      <c r="D249" s="10" t="s">
        <v>285</v>
      </c>
    </row>
    <row r="250" spans="2:4" ht="15" x14ac:dyDescent="0.2">
      <c r="B250" s="31">
        <v>44446</v>
      </c>
      <c r="C250" s="6" t="s">
        <v>278</v>
      </c>
      <c r="D250" s="10" t="s">
        <v>286</v>
      </c>
    </row>
    <row r="251" spans="2:4" ht="15" x14ac:dyDescent="0.2">
      <c r="B251" s="31">
        <v>44481</v>
      </c>
      <c r="C251" s="6" t="s">
        <v>278</v>
      </c>
      <c r="D251" s="10" t="s">
        <v>287</v>
      </c>
    </row>
    <row r="252" spans="2:4" ht="15" x14ac:dyDescent="0.2">
      <c r="B252" s="31">
        <v>44502</v>
      </c>
      <c r="C252" s="6" t="s">
        <v>278</v>
      </c>
      <c r="D252" s="10" t="s">
        <v>288</v>
      </c>
    </row>
    <row r="253" spans="2:4" ht="15" x14ac:dyDescent="0.2">
      <c r="B253" s="31">
        <v>44515</v>
      </c>
      <c r="C253" s="6" t="s">
        <v>275</v>
      </c>
      <c r="D253" s="10" t="s">
        <v>289</v>
      </c>
    </row>
    <row r="254" spans="2:4" ht="15" x14ac:dyDescent="0.2">
      <c r="B254" s="31">
        <v>44555</v>
      </c>
      <c r="C254" s="6" t="s">
        <v>281</v>
      </c>
      <c r="D254" s="10" t="s">
        <v>290</v>
      </c>
    </row>
    <row r="255" spans="2:4" ht="15" x14ac:dyDescent="0.2">
      <c r="B255" s="31">
        <v>44562</v>
      </c>
      <c r="C255" s="6" t="s">
        <v>281</v>
      </c>
      <c r="D255" s="10" t="s">
        <v>276</v>
      </c>
    </row>
    <row r="256" spans="2:4" ht="15" x14ac:dyDescent="0.2">
      <c r="B256" s="31">
        <v>44620</v>
      </c>
      <c r="C256" s="6" t="s">
        <v>275</v>
      </c>
      <c r="D256" s="10" t="s">
        <v>277</v>
      </c>
    </row>
    <row r="257" spans="2:4" ht="15" x14ac:dyDescent="0.2">
      <c r="B257" s="31">
        <v>44621</v>
      </c>
      <c r="C257" s="6" t="s">
        <v>278</v>
      </c>
      <c r="D257" s="10" t="s">
        <v>277</v>
      </c>
    </row>
    <row r="258" spans="2:4" ht="15" x14ac:dyDescent="0.2">
      <c r="B258" s="31">
        <v>44666</v>
      </c>
      <c r="C258" s="6" t="s">
        <v>279</v>
      </c>
      <c r="D258" s="10" t="s">
        <v>280</v>
      </c>
    </row>
    <row r="259" spans="2:4" ht="15" x14ac:dyDescent="0.2">
      <c r="B259" s="31">
        <v>44672</v>
      </c>
      <c r="C259" s="6" t="s">
        <v>284</v>
      </c>
      <c r="D259" s="10" t="s">
        <v>282</v>
      </c>
    </row>
    <row r="260" spans="2:4" ht="15" x14ac:dyDescent="0.2">
      <c r="B260" s="31">
        <v>44682</v>
      </c>
      <c r="C260" s="6" t="s">
        <v>291</v>
      </c>
      <c r="D260" s="10" t="s">
        <v>283</v>
      </c>
    </row>
    <row r="261" spans="2:4" ht="15" x14ac:dyDescent="0.2">
      <c r="B261" s="31">
        <v>44728</v>
      </c>
      <c r="C261" s="6" t="s">
        <v>284</v>
      </c>
      <c r="D261" s="10" t="s">
        <v>285</v>
      </c>
    </row>
    <row r="262" spans="2:4" ht="15" x14ac:dyDescent="0.2">
      <c r="B262" s="31">
        <v>44811</v>
      </c>
      <c r="C262" s="6" t="s">
        <v>292</v>
      </c>
      <c r="D262" s="10" t="s">
        <v>286</v>
      </c>
    </row>
    <row r="263" spans="2:4" ht="15" x14ac:dyDescent="0.2">
      <c r="B263" s="31">
        <v>44846</v>
      </c>
      <c r="C263" s="6" t="s">
        <v>292</v>
      </c>
      <c r="D263" s="10" t="s">
        <v>287</v>
      </c>
    </row>
    <row r="264" spans="2:4" ht="15" x14ac:dyDescent="0.2">
      <c r="B264" s="31">
        <v>44867</v>
      </c>
      <c r="C264" s="6" t="s">
        <v>292</v>
      </c>
      <c r="D264" s="10" t="s">
        <v>288</v>
      </c>
    </row>
    <row r="265" spans="2:4" ht="15" x14ac:dyDescent="0.2">
      <c r="B265" s="31">
        <v>44880</v>
      </c>
      <c r="C265" s="6" t="s">
        <v>278</v>
      </c>
      <c r="D265" s="10" t="s">
        <v>289</v>
      </c>
    </row>
    <row r="266" spans="2:4" ht="15" x14ac:dyDescent="0.2">
      <c r="B266" s="31">
        <v>44920</v>
      </c>
      <c r="C266" s="6" t="s">
        <v>291</v>
      </c>
      <c r="D266" s="10" t="s">
        <v>290</v>
      </c>
    </row>
    <row r="267" spans="2:4" ht="15" x14ac:dyDescent="0.2">
      <c r="B267" s="31">
        <v>44927</v>
      </c>
      <c r="C267" s="6" t="s">
        <v>291</v>
      </c>
      <c r="D267" s="10" t="s">
        <v>276</v>
      </c>
    </row>
    <row r="268" spans="2:4" ht="15" x14ac:dyDescent="0.2">
      <c r="B268" s="31">
        <v>44977</v>
      </c>
      <c r="C268" s="6" t="s">
        <v>275</v>
      </c>
      <c r="D268" s="10" t="s">
        <v>277</v>
      </c>
    </row>
    <row r="269" spans="2:4" ht="15" x14ac:dyDescent="0.2">
      <c r="B269" s="31">
        <v>44978</v>
      </c>
      <c r="C269" s="6" t="s">
        <v>278</v>
      </c>
      <c r="D269" s="10" t="s">
        <v>277</v>
      </c>
    </row>
    <row r="270" spans="2:4" ht="15" x14ac:dyDescent="0.2">
      <c r="B270" s="31">
        <v>45023</v>
      </c>
      <c r="C270" s="6" t="s">
        <v>279</v>
      </c>
      <c r="D270" s="10" t="s">
        <v>280</v>
      </c>
    </row>
    <row r="271" spans="2:4" ht="15" x14ac:dyDescent="0.2">
      <c r="B271" s="31">
        <v>45037</v>
      </c>
      <c r="C271" s="6" t="s">
        <v>279</v>
      </c>
      <c r="D271" s="10" t="s">
        <v>282</v>
      </c>
    </row>
    <row r="272" spans="2:4" ht="15" x14ac:dyDescent="0.2">
      <c r="B272" s="31">
        <v>45047</v>
      </c>
      <c r="C272" s="6" t="s">
        <v>275</v>
      </c>
      <c r="D272" s="10" t="s">
        <v>283</v>
      </c>
    </row>
    <row r="273" spans="2:4" ht="15" x14ac:dyDescent="0.2">
      <c r="B273" s="31">
        <v>45085</v>
      </c>
      <c r="C273" s="6" t="s">
        <v>284</v>
      </c>
      <c r="D273" s="10" t="s">
        <v>285</v>
      </c>
    </row>
    <row r="274" spans="2:4" ht="15" x14ac:dyDescent="0.2">
      <c r="B274" s="31">
        <v>45176</v>
      </c>
      <c r="C274" s="6" t="s">
        <v>284</v>
      </c>
      <c r="D274" s="10" t="s">
        <v>286</v>
      </c>
    </row>
    <row r="275" spans="2:4" ht="15" x14ac:dyDescent="0.2">
      <c r="B275" s="31">
        <v>45211</v>
      </c>
      <c r="C275" s="6" t="s">
        <v>284</v>
      </c>
      <c r="D275" s="10" t="s">
        <v>287</v>
      </c>
    </row>
    <row r="276" spans="2:4" ht="15" x14ac:dyDescent="0.2">
      <c r="B276" s="31">
        <v>45232</v>
      </c>
      <c r="C276" s="6" t="s">
        <v>284</v>
      </c>
      <c r="D276" s="10" t="s">
        <v>288</v>
      </c>
    </row>
    <row r="277" spans="2:4" ht="15" x14ac:dyDescent="0.2">
      <c r="B277" s="31">
        <v>45245</v>
      </c>
      <c r="C277" s="6" t="s">
        <v>292</v>
      </c>
      <c r="D277" s="10" t="s">
        <v>289</v>
      </c>
    </row>
    <row r="278" spans="2:4" ht="15" x14ac:dyDescent="0.2">
      <c r="B278" s="31">
        <v>45285</v>
      </c>
      <c r="C278" s="6" t="s">
        <v>275</v>
      </c>
      <c r="D278" s="10" t="s">
        <v>290</v>
      </c>
    </row>
    <row r="279" spans="2:4" ht="15" x14ac:dyDescent="0.2">
      <c r="B279" s="31">
        <v>45292</v>
      </c>
      <c r="C279" s="6" t="s">
        <v>275</v>
      </c>
      <c r="D279" s="10" t="s">
        <v>276</v>
      </c>
    </row>
    <row r="280" spans="2:4" ht="15" x14ac:dyDescent="0.2">
      <c r="B280" s="31">
        <v>45334</v>
      </c>
      <c r="C280" s="6" t="s">
        <v>275</v>
      </c>
      <c r="D280" s="10" t="s">
        <v>277</v>
      </c>
    </row>
    <row r="281" spans="2:4" ht="15" x14ac:dyDescent="0.2">
      <c r="B281" s="31">
        <v>45335</v>
      </c>
      <c r="C281" s="6" t="s">
        <v>278</v>
      </c>
      <c r="D281" s="10" t="s">
        <v>277</v>
      </c>
    </row>
    <row r="282" spans="2:4" ht="15" x14ac:dyDescent="0.2">
      <c r="B282" s="31">
        <v>45380</v>
      </c>
      <c r="C282" s="6" t="s">
        <v>279</v>
      </c>
      <c r="D282" s="10" t="s">
        <v>280</v>
      </c>
    </row>
    <row r="283" spans="2:4" ht="15" x14ac:dyDescent="0.2">
      <c r="B283" s="31">
        <v>45403</v>
      </c>
      <c r="C283" s="6" t="s">
        <v>291</v>
      </c>
      <c r="D283" s="10" t="s">
        <v>282</v>
      </c>
    </row>
    <row r="284" spans="2:4" ht="15" x14ac:dyDescent="0.2">
      <c r="B284" s="31">
        <v>45413</v>
      </c>
      <c r="C284" s="6" t="s">
        <v>292</v>
      </c>
      <c r="D284" s="10" t="s">
        <v>283</v>
      </c>
    </row>
    <row r="285" spans="2:4" ht="15" x14ac:dyDescent="0.2">
      <c r="B285" s="31">
        <v>45442</v>
      </c>
      <c r="C285" s="6" t="s">
        <v>284</v>
      </c>
      <c r="D285" s="10" t="s">
        <v>285</v>
      </c>
    </row>
    <row r="286" spans="2:4" ht="15" x14ac:dyDescent="0.2">
      <c r="B286" s="31">
        <v>45542</v>
      </c>
      <c r="C286" s="6" t="s">
        <v>281</v>
      </c>
      <c r="D286" s="10" t="s">
        <v>286</v>
      </c>
    </row>
    <row r="287" spans="2:4" ht="15" x14ac:dyDescent="0.2">
      <c r="B287" s="31">
        <v>45577</v>
      </c>
      <c r="C287" s="6" t="s">
        <v>281</v>
      </c>
      <c r="D287" s="10" t="s">
        <v>287</v>
      </c>
    </row>
    <row r="288" spans="2:4" ht="15" x14ac:dyDescent="0.2">
      <c r="B288" s="31">
        <v>45598</v>
      </c>
      <c r="C288" s="6" t="s">
        <v>281</v>
      </c>
      <c r="D288" s="10" t="s">
        <v>288</v>
      </c>
    </row>
    <row r="289" spans="2:4" ht="15" x14ac:dyDescent="0.2">
      <c r="B289" s="31">
        <v>45611</v>
      </c>
      <c r="C289" s="6" t="s">
        <v>279</v>
      </c>
      <c r="D289" s="10" t="s">
        <v>289</v>
      </c>
    </row>
    <row r="290" spans="2:4" ht="15" x14ac:dyDescent="0.2">
      <c r="B290" s="31">
        <v>45651</v>
      </c>
      <c r="C290" s="6" t="s">
        <v>292</v>
      </c>
      <c r="D290" s="10" t="s">
        <v>290</v>
      </c>
    </row>
    <row r="291" spans="2:4" ht="15" x14ac:dyDescent="0.2">
      <c r="B291" s="31">
        <v>45658</v>
      </c>
      <c r="C291" s="6" t="s">
        <v>292</v>
      </c>
      <c r="D291" s="10" t="s">
        <v>276</v>
      </c>
    </row>
    <row r="292" spans="2:4" ht="15" x14ac:dyDescent="0.2">
      <c r="B292" s="31">
        <v>45719</v>
      </c>
      <c r="C292" s="6" t="s">
        <v>275</v>
      </c>
      <c r="D292" s="10" t="s">
        <v>277</v>
      </c>
    </row>
    <row r="293" spans="2:4" ht="15" x14ac:dyDescent="0.2">
      <c r="B293" s="31">
        <v>45720</v>
      </c>
      <c r="C293" s="6" t="s">
        <v>278</v>
      </c>
      <c r="D293" s="10" t="s">
        <v>277</v>
      </c>
    </row>
    <row r="294" spans="2:4" ht="15" x14ac:dyDescent="0.2">
      <c r="B294" s="31">
        <v>45765</v>
      </c>
      <c r="C294" s="6" t="s">
        <v>279</v>
      </c>
      <c r="D294" s="10" t="s">
        <v>280</v>
      </c>
    </row>
    <row r="295" spans="2:4" ht="15" x14ac:dyDescent="0.2">
      <c r="B295" s="31">
        <v>45768</v>
      </c>
      <c r="C295" s="6" t="s">
        <v>275</v>
      </c>
      <c r="D295" s="10" t="s">
        <v>282</v>
      </c>
    </row>
    <row r="296" spans="2:4" ht="15" x14ac:dyDescent="0.2">
      <c r="B296" s="31">
        <v>45778</v>
      </c>
      <c r="C296" s="6" t="s">
        <v>284</v>
      </c>
      <c r="D296" s="10" t="s">
        <v>283</v>
      </c>
    </row>
    <row r="297" spans="2:4" ht="15" x14ac:dyDescent="0.2">
      <c r="B297" s="31">
        <v>45827</v>
      </c>
      <c r="C297" s="6" t="s">
        <v>284</v>
      </c>
      <c r="D297" s="10" t="s">
        <v>285</v>
      </c>
    </row>
    <row r="298" spans="2:4" ht="15" x14ac:dyDescent="0.2">
      <c r="B298" s="31">
        <v>45907</v>
      </c>
      <c r="C298" s="6" t="s">
        <v>291</v>
      </c>
      <c r="D298" s="10" t="s">
        <v>286</v>
      </c>
    </row>
    <row r="299" spans="2:4" ht="15" x14ac:dyDescent="0.2">
      <c r="B299" s="31">
        <v>45942</v>
      </c>
      <c r="C299" s="6" t="s">
        <v>291</v>
      </c>
      <c r="D299" s="10" t="s">
        <v>287</v>
      </c>
    </row>
    <row r="300" spans="2:4" ht="15" x14ac:dyDescent="0.2">
      <c r="B300" s="31">
        <v>45963</v>
      </c>
      <c r="C300" s="6" t="s">
        <v>291</v>
      </c>
      <c r="D300" s="10" t="s">
        <v>288</v>
      </c>
    </row>
    <row r="301" spans="2:4" ht="15" x14ac:dyDescent="0.2">
      <c r="B301" s="31">
        <v>45976</v>
      </c>
      <c r="C301" s="6" t="s">
        <v>281</v>
      </c>
      <c r="D301" s="10" t="s">
        <v>289</v>
      </c>
    </row>
    <row r="302" spans="2:4" ht="15" x14ac:dyDescent="0.2">
      <c r="B302" s="31">
        <v>46016</v>
      </c>
      <c r="C302" s="6" t="s">
        <v>284</v>
      </c>
      <c r="D302" s="10" t="s">
        <v>290</v>
      </c>
    </row>
    <row r="303" spans="2:4" ht="15" x14ac:dyDescent="0.2">
      <c r="B303" s="31">
        <v>46023</v>
      </c>
      <c r="C303" s="6" t="s">
        <v>284</v>
      </c>
      <c r="D303" s="10" t="s">
        <v>276</v>
      </c>
    </row>
    <row r="304" spans="2:4" ht="15" x14ac:dyDescent="0.2">
      <c r="B304" s="31">
        <v>46069</v>
      </c>
      <c r="C304" s="6" t="s">
        <v>275</v>
      </c>
      <c r="D304" s="10" t="s">
        <v>277</v>
      </c>
    </row>
    <row r="305" spans="2:4" ht="15" x14ac:dyDescent="0.2">
      <c r="B305" s="31">
        <v>46070</v>
      </c>
      <c r="C305" s="6" t="s">
        <v>278</v>
      </c>
      <c r="D305" s="10" t="s">
        <v>277</v>
      </c>
    </row>
    <row r="306" spans="2:4" ht="15" x14ac:dyDescent="0.2">
      <c r="B306" s="31">
        <v>46115</v>
      </c>
      <c r="C306" s="6" t="s">
        <v>279</v>
      </c>
      <c r="D306" s="10" t="s">
        <v>280</v>
      </c>
    </row>
    <row r="307" spans="2:4" ht="15" x14ac:dyDescent="0.2">
      <c r="B307" s="31">
        <v>46133</v>
      </c>
      <c r="C307" s="6" t="s">
        <v>278</v>
      </c>
      <c r="D307" s="10" t="s">
        <v>282</v>
      </c>
    </row>
    <row r="308" spans="2:4" ht="15" x14ac:dyDescent="0.2">
      <c r="B308" s="31">
        <v>46143</v>
      </c>
      <c r="C308" s="6" t="s">
        <v>279</v>
      </c>
      <c r="D308" s="10" t="s">
        <v>283</v>
      </c>
    </row>
    <row r="309" spans="2:4" ht="15" x14ac:dyDescent="0.2">
      <c r="B309" s="31">
        <v>46177</v>
      </c>
      <c r="C309" s="6" t="s">
        <v>284</v>
      </c>
      <c r="D309" s="10" t="s">
        <v>285</v>
      </c>
    </row>
    <row r="310" spans="2:4" ht="15" x14ac:dyDescent="0.2">
      <c r="B310" s="31">
        <v>46272</v>
      </c>
      <c r="C310" s="6" t="s">
        <v>275</v>
      </c>
      <c r="D310" s="10" t="s">
        <v>286</v>
      </c>
    </row>
    <row r="311" spans="2:4" ht="15" x14ac:dyDescent="0.2">
      <c r="B311" s="31">
        <v>46307</v>
      </c>
      <c r="C311" s="6" t="s">
        <v>275</v>
      </c>
      <c r="D311" s="10" t="s">
        <v>287</v>
      </c>
    </row>
    <row r="312" spans="2:4" ht="15" x14ac:dyDescent="0.2">
      <c r="B312" s="31">
        <v>46328</v>
      </c>
      <c r="C312" s="6" t="s">
        <v>275</v>
      </c>
      <c r="D312" s="10" t="s">
        <v>288</v>
      </c>
    </row>
    <row r="313" spans="2:4" ht="15" x14ac:dyDescent="0.2">
      <c r="B313" s="31">
        <v>46341</v>
      </c>
      <c r="C313" s="6" t="s">
        <v>291</v>
      </c>
      <c r="D313" s="10" t="s">
        <v>289</v>
      </c>
    </row>
    <row r="314" spans="2:4" ht="15" x14ac:dyDescent="0.2">
      <c r="B314" s="31">
        <v>46381</v>
      </c>
      <c r="C314" s="6" t="s">
        <v>279</v>
      </c>
      <c r="D314" s="10" t="s">
        <v>290</v>
      </c>
    </row>
    <row r="315" spans="2:4" ht="15" x14ac:dyDescent="0.2">
      <c r="B315" s="31">
        <v>46388</v>
      </c>
      <c r="C315" s="6" t="s">
        <v>279</v>
      </c>
      <c r="D315" s="10" t="s">
        <v>276</v>
      </c>
    </row>
    <row r="316" spans="2:4" ht="15" x14ac:dyDescent="0.2">
      <c r="B316" s="31">
        <v>46426</v>
      </c>
      <c r="C316" s="6" t="s">
        <v>275</v>
      </c>
      <c r="D316" s="10" t="s">
        <v>277</v>
      </c>
    </row>
    <row r="317" spans="2:4" ht="15" x14ac:dyDescent="0.2">
      <c r="B317" s="31">
        <v>46427</v>
      </c>
      <c r="C317" s="6" t="s">
        <v>278</v>
      </c>
      <c r="D317" s="10" t="s">
        <v>277</v>
      </c>
    </row>
    <row r="318" spans="2:4" ht="15" x14ac:dyDescent="0.2">
      <c r="B318" s="31">
        <v>46472</v>
      </c>
      <c r="C318" s="6" t="s">
        <v>279</v>
      </c>
      <c r="D318" s="10" t="s">
        <v>280</v>
      </c>
    </row>
    <row r="319" spans="2:4" ht="15" x14ac:dyDescent="0.2">
      <c r="B319" s="31">
        <v>46498</v>
      </c>
      <c r="C319" s="6" t="s">
        <v>292</v>
      </c>
      <c r="D319" s="10" t="s">
        <v>282</v>
      </c>
    </row>
    <row r="320" spans="2:4" ht="15" x14ac:dyDescent="0.2">
      <c r="B320" s="31">
        <v>46508</v>
      </c>
      <c r="C320" s="6" t="s">
        <v>281</v>
      </c>
      <c r="D320" s="10" t="s">
        <v>283</v>
      </c>
    </row>
    <row r="321" spans="2:4" ht="15" x14ac:dyDescent="0.2">
      <c r="B321" s="31">
        <v>46534</v>
      </c>
      <c r="C321" s="6" t="s">
        <v>284</v>
      </c>
      <c r="D321" s="10" t="s">
        <v>285</v>
      </c>
    </row>
    <row r="322" spans="2:4" ht="15" x14ac:dyDescent="0.2">
      <c r="B322" s="31">
        <v>46637</v>
      </c>
      <c r="C322" s="6" t="s">
        <v>278</v>
      </c>
      <c r="D322" s="10" t="s">
        <v>286</v>
      </c>
    </row>
    <row r="323" spans="2:4" ht="15" x14ac:dyDescent="0.2">
      <c r="B323" s="31">
        <v>46672</v>
      </c>
      <c r="C323" s="6" t="s">
        <v>278</v>
      </c>
      <c r="D323" s="10" t="s">
        <v>287</v>
      </c>
    </row>
    <row r="324" spans="2:4" ht="15" x14ac:dyDescent="0.2">
      <c r="B324" s="31">
        <v>46693</v>
      </c>
      <c r="C324" s="6" t="s">
        <v>278</v>
      </c>
      <c r="D324" s="10" t="s">
        <v>288</v>
      </c>
    </row>
    <row r="325" spans="2:4" ht="15" x14ac:dyDescent="0.2">
      <c r="B325" s="31">
        <v>46706</v>
      </c>
      <c r="C325" s="6" t="s">
        <v>275</v>
      </c>
      <c r="D325" s="10" t="s">
        <v>289</v>
      </c>
    </row>
    <row r="326" spans="2:4" ht="15" x14ac:dyDescent="0.2">
      <c r="B326" s="31">
        <v>46746</v>
      </c>
      <c r="C326" s="6" t="s">
        <v>281</v>
      </c>
      <c r="D326" s="10" t="s">
        <v>290</v>
      </c>
    </row>
    <row r="327" spans="2:4" ht="15" x14ac:dyDescent="0.2">
      <c r="B327" s="31">
        <v>46753</v>
      </c>
      <c r="C327" s="6" t="s">
        <v>281</v>
      </c>
      <c r="D327" s="10" t="s">
        <v>276</v>
      </c>
    </row>
    <row r="328" spans="2:4" ht="15" x14ac:dyDescent="0.2">
      <c r="B328" s="31">
        <v>46811</v>
      </c>
      <c r="C328" s="6" t="s">
        <v>275</v>
      </c>
      <c r="D328" s="10" t="s">
        <v>277</v>
      </c>
    </row>
    <row r="329" spans="2:4" ht="15" x14ac:dyDescent="0.2">
      <c r="B329" s="31">
        <v>46812</v>
      </c>
      <c r="C329" s="6" t="s">
        <v>278</v>
      </c>
      <c r="D329" s="10" t="s">
        <v>277</v>
      </c>
    </row>
    <row r="330" spans="2:4" ht="15" x14ac:dyDescent="0.2">
      <c r="B330" s="31">
        <v>46857</v>
      </c>
      <c r="C330" s="6" t="s">
        <v>279</v>
      </c>
      <c r="D330" s="10" t="s">
        <v>280</v>
      </c>
    </row>
    <row r="331" spans="2:4" ht="15" x14ac:dyDescent="0.2">
      <c r="B331" s="31">
        <v>46864</v>
      </c>
      <c r="C331" s="6" t="s">
        <v>279</v>
      </c>
      <c r="D331" s="10" t="s">
        <v>282</v>
      </c>
    </row>
    <row r="332" spans="2:4" ht="15" x14ac:dyDescent="0.2">
      <c r="B332" s="31">
        <v>46874</v>
      </c>
      <c r="C332" s="6" t="s">
        <v>275</v>
      </c>
      <c r="D332" s="10" t="s">
        <v>283</v>
      </c>
    </row>
    <row r="333" spans="2:4" ht="15" x14ac:dyDescent="0.2">
      <c r="B333" s="31">
        <v>46919</v>
      </c>
      <c r="C333" s="6" t="s">
        <v>284</v>
      </c>
      <c r="D333" s="10" t="s">
        <v>285</v>
      </c>
    </row>
    <row r="334" spans="2:4" ht="15" x14ac:dyDescent="0.2">
      <c r="B334" s="31">
        <v>47003</v>
      </c>
      <c r="C334" s="6" t="s">
        <v>284</v>
      </c>
      <c r="D334" s="10" t="s">
        <v>286</v>
      </c>
    </row>
    <row r="335" spans="2:4" ht="15" x14ac:dyDescent="0.2">
      <c r="B335" s="31">
        <v>47038</v>
      </c>
      <c r="C335" s="6" t="s">
        <v>284</v>
      </c>
      <c r="D335" s="10" t="s">
        <v>287</v>
      </c>
    </row>
    <row r="336" spans="2:4" ht="15" x14ac:dyDescent="0.2">
      <c r="B336" s="31">
        <v>47059</v>
      </c>
      <c r="C336" s="6" t="s">
        <v>284</v>
      </c>
      <c r="D336" s="10" t="s">
        <v>288</v>
      </c>
    </row>
    <row r="337" spans="2:4" ht="15" x14ac:dyDescent="0.2">
      <c r="B337" s="31">
        <v>47072</v>
      </c>
      <c r="C337" s="6" t="s">
        <v>292</v>
      </c>
      <c r="D337" s="10" t="s">
        <v>289</v>
      </c>
    </row>
    <row r="338" spans="2:4" ht="15" x14ac:dyDescent="0.2">
      <c r="B338" s="31">
        <v>47112</v>
      </c>
      <c r="C338" s="6" t="s">
        <v>275</v>
      </c>
      <c r="D338" s="10" t="s">
        <v>290</v>
      </c>
    </row>
    <row r="339" spans="2:4" ht="15" x14ac:dyDescent="0.2">
      <c r="B339" s="31">
        <v>47119</v>
      </c>
      <c r="C339" s="6" t="s">
        <v>275</v>
      </c>
      <c r="D339" s="10" t="s">
        <v>276</v>
      </c>
    </row>
    <row r="340" spans="2:4" ht="15" x14ac:dyDescent="0.2">
      <c r="B340" s="31">
        <v>47161</v>
      </c>
      <c r="C340" s="6" t="s">
        <v>275</v>
      </c>
      <c r="D340" s="10" t="s">
        <v>277</v>
      </c>
    </row>
    <row r="341" spans="2:4" ht="15" x14ac:dyDescent="0.2">
      <c r="B341" s="31">
        <v>47162</v>
      </c>
      <c r="C341" s="6" t="s">
        <v>278</v>
      </c>
      <c r="D341" s="10" t="s">
        <v>277</v>
      </c>
    </row>
    <row r="342" spans="2:4" ht="15" x14ac:dyDescent="0.2">
      <c r="B342" s="31">
        <v>47207</v>
      </c>
      <c r="C342" s="6" t="s">
        <v>279</v>
      </c>
      <c r="D342" s="10" t="s">
        <v>280</v>
      </c>
    </row>
    <row r="343" spans="2:4" ht="15" x14ac:dyDescent="0.2">
      <c r="B343" s="31">
        <v>47229</v>
      </c>
      <c r="C343" s="6" t="s">
        <v>281</v>
      </c>
      <c r="D343" s="10" t="s">
        <v>282</v>
      </c>
    </row>
    <row r="344" spans="2:4" ht="15" x14ac:dyDescent="0.2">
      <c r="B344" s="31">
        <v>47239</v>
      </c>
      <c r="C344" s="6" t="s">
        <v>278</v>
      </c>
      <c r="D344" s="10" t="s">
        <v>283</v>
      </c>
    </row>
    <row r="345" spans="2:4" ht="15" x14ac:dyDescent="0.2">
      <c r="B345" s="31">
        <v>47269</v>
      </c>
      <c r="C345" s="6" t="s">
        <v>284</v>
      </c>
      <c r="D345" s="10" t="s">
        <v>285</v>
      </c>
    </row>
    <row r="346" spans="2:4" ht="15" x14ac:dyDescent="0.2">
      <c r="B346" s="31">
        <v>47368</v>
      </c>
      <c r="C346" s="6" t="s">
        <v>279</v>
      </c>
      <c r="D346" s="10" t="s">
        <v>286</v>
      </c>
    </row>
    <row r="347" spans="2:4" ht="15" x14ac:dyDescent="0.2">
      <c r="B347" s="31">
        <v>47403</v>
      </c>
      <c r="C347" s="6" t="s">
        <v>279</v>
      </c>
      <c r="D347" s="10" t="s">
        <v>287</v>
      </c>
    </row>
    <row r="348" spans="2:4" ht="15" x14ac:dyDescent="0.2">
      <c r="B348" s="31">
        <v>47424</v>
      </c>
      <c r="C348" s="6" t="s">
        <v>279</v>
      </c>
      <c r="D348" s="10" t="s">
        <v>288</v>
      </c>
    </row>
    <row r="349" spans="2:4" ht="15" x14ac:dyDescent="0.2">
      <c r="B349" s="31">
        <v>47437</v>
      </c>
      <c r="C349" s="6" t="s">
        <v>284</v>
      </c>
      <c r="D349" s="10" t="s">
        <v>289</v>
      </c>
    </row>
    <row r="350" spans="2:4" ht="15" x14ac:dyDescent="0.2">
      <c r="B350" s="31">
        <v>47477</v>
      </c>
      <c r="C350" s="6" t="s">
        <v>278</v>
      </c>
      <c r="D350" s="10" t="s">
        <v>290</v>
      </c>
    </row>
    <row r="351" spans="2:4" ht="15" x14ac:dyDescent="0.2">
      <c r="B351" s="31">
        <v>47484</v>
      </c>
      <c r="C351" s="6" t="s">
        <v>278</v>
      </c>
      <c r="D351" s="10" t="s">
        <v>276</v>
      </c>
    </row>
    <row r="352" spans="2:4" ht="15" x14ac:dyDescent="0.2">
      <c r="B352" s="31">
        <v>47546</v>
      </c>
      <c r="C352" s="6" t="s">
        <v>275</v>
      </c>
      <c r="D352" s="10" t="s">
        <v>277</v>
      </c>
    </row>
    <row r="353" spans="2:4" ht="15" x14ac:dyDescent="0.2">
      <c r="B353" s="31">
        <v>47547</v>
      </c>
      <c r="C353" s="6" t="s">
        <v>278</v>
      </c>
      <c r="D353" s="10" t="s">
        <v>277</v>
      </c>
    </row>
    <row r="354" spans="2:4" ht="15" x14ac:dyDescent="0.2">
      <c r="B354" s="31">
        <v>47592</v>
      </c>
      <c r="C354" s="6" t="s">
        <v>279</v>
      </c>
      <c r="D354" s="10" t="s">
        <v>280</v>
      </c>
    </row>
    <row r="355" spans="2:4" ht="15" x14ac:dyDescent="0.2">
      <c r="B355" s="31">
        <v>47594</v>
      </c>
      <c r="C355" s="6" t="s">
        <v>291</v>
      </c>
      <c r="D355" s="10" t="s">
        <v>282</v>
      </c>
    </row>
    <row r="356" spans="2:4" ht="15" x14ac:dyDescent="0.2">
      <c r="B356" s="31">
        <v>47604</v>
      </c>
      <c r="C356" s="6" t="s">
        <v>292</v>
      </c>
      <c r="D356" s="10" t="s">
        <v>283</v>
      </c>
    </row>
    <row r="357" spans="2:4" ht="15" x14ac:dyDescent="0.2">
      <c r="B357" s="31">
        <v>47654</v>
      </c>
      <c r="C357" s="6" t="s">
        <v>284</v>
      </c>
      <c r="D357" s="10" t="s">
        <v>285</v>
      </c>
    </row>
    <row r="358" spans="2:4" ht="15" x14ac:dyDescent="0.2">
      <c r="B358" s="31">
        <v>47733</v>
      </c>
      <c r="C358" s="6" t="s">
        <v>281</v>
      </c>
      <c r="D358" s="10" t="s">
        <v>286</v>
      </c>
    </row>
    <row r="359" spans="2:4" ht="15" x14ac:dyDescent="0.2">
      <c r="B359" s="31">
        <v>47768</v>
      </c>
      <c r="C359" s="6" t="s">
        <v>281</v>
      </c>
      <c r="D359" s="10" t="s">
        <v>287</v>
      </c>
    </row>
    <row r="360" spans="2:4" ht="15" x14ac:dyDescent="0.2">
      <c r="B360" s="31">
        <v>47789</v>
      </c>
      <c r="C360" s="6" t="s">
        <v>281</v>
      </c>
      <c r="D360" s="10" t="s">
        <v>288</v>
      </c>
    </row>
    <row r="361" spans="2:4" ht="15" x14ac:dyDescent="0.2">
      <c r="B361" s="31">
        <v>47802</v>
      </c>
      <c r="C361" s="6" t="s">
        <v>279</v>
      </c>
      <c r="D361" s="10" t="s">
        <v>289</v>
      </c>
    </row>
    <row r="362" spans="2:4" ht="15" x14ac:dyDescent="0.2">
      <c r="B362" s="31">
        <v>47842</v>
      </c>
      <c r="C362" s="6" t="s">
        <v>292</v>
      </c>
      <c r="D362" s="10" t="s">
        <v>290</v>
      </c>
    </row>
    <row r="363" spans="2:4" ht="15" x14ac:dyDescent="0.2">
      <c r="B363" s="31">
        <v>47849</v>
      </c>
      <c r="C363" s="6" t="s">
        <v>292</v>
      </c>
      <c r="D363" s="10" t="s">
        <v>276</v>
      </c>
    </row>
    <row r="364" spans="2:4" ht="15" x14ac:dyDescent="0.2">
      <c r="B364" s="31">
        <v>47903</v>
      </c>
      <c r="C364" s="6" t="s">
        <v>275</v>
      </c>
      <c r="D364" s="10" t="s">
        <v>277</v>
      </c>
    </row>
    <row r="365" spans="2:4" ht="15" x14ac:dyDescent="0.2">
      <c r="B365" s="31">
        <v>47904</v>
      </c>
      <c r="C365" s="6" t="s">
        <v>278</v>
      </c>
      <c r="D365" s="10" t="s">
        <v>277</v>
      </c>
    </row>
    <row r="366" spans="2:4" ht="15" x14ac:dyDescent="0.2">
      <c r="B366" s="31">
        <v>47949</v>
      </c>
      <c r="C366" s="6" t="s">
        <v>279</v>
      </c>
      <c r="D366" s="10" t="s">
        <v>280</v>
      </c>
    </row>
    <row r="367" spans="2:4" ht="15" x14ac:dyDescent="0.2">
      <c r="B367" s="31">
        <v>47959</v>
      </c>
      <c r="C367" s="6" t="s">
        <v>275</v>
      </c>
      <c r="D367" s="10" t="s">
        <v>282</v>
      </c>
    </row>
    <row r="368" spans="2:4" ht="15" x14ac:dyDescent="0.2">
      <c r="B368" s="31">
        <v>47969</v>
      </c>
      <c r="C368" s="6" t="s">
        <v>284</v>
      </c>
      <c r="D368" s="10" t="s">
        <v>283</v>
      </c>
    </row>
    <row r="369" spans="2:4" ht="15" x14ac:dyDescent="0.2">
      <c r="B369" s="31">
        <v>48011</v>
      </c>
      <c r="C369" s="6" t="s">
        <v>284</v>
      </c>
      <c r="D369" s="10" t="s">
        <v>285</v>
      </c>
    </row>
    <row r="370" spans="2:4" ht="15" x14ac:dyDescent="0.2">
      <c r="B370" s="31">
        <v>48098</v>
      </c>
      <c r="C370" s="6" t="s">
        <v>291</v>
      </c>
      <c r="D370" s="10" t="s">
        <v>286</v>
      </c>
    </row>
    <row r="371" spans="2:4" ht="15" x14ac:dyDescent="0.2">
      <c r="B371" s="31">
        <v>48133</v>
      </c>
      <c r="C371" s="6" t="s">
        <v>291</v>
      </c>
      <c r="D371" s="10" t="s">
        <v>287</v>
      </c>
    </row>
    <row r="372" spans="2:4" ht="15" x14ac:dyDescent="0.2">
      <c r="B372" s="31">
        <v>48154</v>
      </c>
      <c r="C372" s="6" t="s">
        <v>291</v>
      </c>
      <c r="D372" s="10" t="s">
        <v>288</v>
      </c>
    </row>
    <row r="373" spans="2:4" ht="15" x14ac:dyDescent="0.2">
      <c r="B373" s="31">
        <v>48167</v>
      </c>
      <c r="C373" s="6" t="s">
        <v>281</v>
      </c>
      <c r="D373" s="10" t="s">
        <v>289</v>
      </c>
    </row>
    <row r="374" spans="2:4" ht="15" x14ac:dyDescent="0.2">
      <c r="B374" s="31">
        <v>48207</v>
      </c>
      <c r="C374" s="6" t="s">
        <v>284</v>
      </c>
      <c r="D374" s="10" t="s">
        <v>290</v>
      </c>
    </row>
    <row r="375" spans="2:4" ht="15" x14ac:dyDescent="0.2">
      <c r="B375" s="31">
        <v>48214</v>
      </c>
      <c r="C375" s="6" t="s">
        <v>284</v>
      </c>
      <c r="D375" s="10" t="s">
        <v>276</v>
      </c>
    </row>
    <row r="376" spans="2:4" ht="15" x14ac:dyDescent="0.2">
      <c r="B376" s="31">
        <v>48253</v>
      </c>
      <c r="C376" s="6" t="s">
        <v>275</v>
      </c>
      <c r="D376" s="10" t="s">
        <v>277</v>
      </c>
    </row>
    <row r="377" spans="2:4" ht="15" x14ac:dyDescent="0.2">
      <c r="B377" s="31">
        <v>48254</v>
      </c>
      <c r="C377" s="6" t="s">
        <v>278</v>
      </c>
      <c r="D377" s="10" t="s">
        <v>277</v>
      </c>
    </row>
    <row r="378" spans="2:4" ht="15" x14ac:dyDescent="0.2">
      <c r="B378" s="31">
        <v>48299</v>
      </c>
      <c r="C378" s="6" t="s">
        <v>279</v>
      </c>
      <c r="D378" s="10" t="s">
        <v>280</v>
      </c>
    </row>
    <row r="379" spans="2:4" ht="15" x14ac:dyDescent="0.2">
      <c r="B379" s="31">
        <v>48325</v>
      </c>
      <c r="C379" s="6" t="s">
        <v>292</v>
      </c>
      <c r="D379" s="10" t="s">
        <v>282</v>
      </c>
    </row>
    <row r="380" spans="2:4" ht="15" x14ac:dyDescent="0.2">
      <c r="B380" s="31">
        <v>48335</v>
      </c>
      <c r="C380" s="6" t="s">
        <v>281</v>
      </c>
      <c r="D380" s="10" t="s">
        <v>283</v>
      </c>
    </row>
    <row r="381" spans="2:4" ht="15" x14ac:dyDescent="0.2">
      <c r="B381" s="31">
        <v>48361</v>
      </c>
      <c r="C381" s="6" t="s">
        <v>284</v>
      </c>
      <c r="D381" s="10" t="s">
        <v>285</v>
      </c>
    </row>
    <row r="382" spans="2:4" ht="15" x14ac:dyDescent="0.2">
      <c r="B382" s="31">
        <v>48464</v>
      </c>
      <c r="C382" s="6" t="s">
        <v>278</v>
      </c>
      <c r="D382" s="10" t="s">
        <v>286</v>
      </c>
    </row>
    <row r="383" spans="2:4" ht="15" x14ac:dyDescent="0.2">
      <c r="B383" s="31">
        <v>48499</v>
      </c>
      <c r="C383" s="6" t="s">
        <v>278</v>
      </c>
      <c r="D383" s="10" t="s">
        <v>287</v>
      </c>
    </row>
    <row r="384" spans="2:4" ht="15" x14ac:dyDescent="0.2">
      <c r="B384" s="31">
        <v>48520</v>
      </c>
      <c r="C384" s="6" t="s">
        <v>278</v>
      </c>
      <c r="D384" s="10" t="s">
        <v>288</v>
      </c>
    </row>
    <row r="385" spans="2:4" ht="15" x14ac:dyDescent="0.2">
      <c r="B385" s="31">
        <v>48533</v>
      </c>
      <c r="C385" s="6" t="s">
        <v>275</v>
      </c>
      <c r="D385" s="10" t="s">
        <v>289</v>
      </c>
    </row>
    <row r="386" spans="2:4" ht="15" x14ac:dyDescent="0.2">
      <c r="B386" s="31">
        <v>48573</v>
      </c>
      <c r="C386" s="6" t="s">
        <v>281</v>
      </c>
      <c r="D386" s="10" t="s">
        <v>290</v>
      </c>
    </row>
    <row r="387" spans="2:4" ht="15" x14ac:dyDescent="0.2">
      <c r="B387" s="31">
        <v>48580</v>
      </c>
      <c r="C387" s="6" t="s">
        <v>281</v>
      </c>
      <c r="D387" s="10" t="s">
        <v>276</v>
      </c>
    </row>
    <row r="388" spans="2:4" ht="15" x14ac:dyDescent="0.2">
      <c r="B388" s="31">
        <v>48638</v>
      </c>
      <c r="C388" s="6" t="s">
        <v>275</v>
      </c>
      <c r="D388" s="10" t="s">
        <v>277</v>
      </c>
    </row>
    <row r="389" spans="2:4" ht="15" x14ac:dyDescent="0.2">
      <c r="B389" s="31">
        <v>48639</v>
      </c>
      <c r="C389" s="6" t="s">
        <v>278</v>
      </c>
      <c r="D389" s="10" t="s">
        <v>277</v>
      </c>
    </row>
    <row r="390" spans="2:4" ht="15" x14ac:dyDescent="0.2">
      <c r="B390" s="31">
        <v>48684</v>
      </c>
      <c r="C390" s="6" t="s">
        <v>279</v>
      </c>
      <c r="D390" s="10" t="s">
        <v>280</v>
      </c>
    </row>
    <row r="391" spans="2:4" ht="15" x14ac:dyDescent="0.2">
      <c r="B391" s="31">
        <v>48690</v>
      </c>
      <c r="C391" s="6" t="s">
        <v>284</v>
      </c>
      <c r="D391" s="10" t="s">
        <v>282</v>
      </c>
    </row>
    <row r="392" spans="2:4" ht="15" x14ac:dyDescent="0.2">
      <c r="B392" s="31">
        <v>48700</v>
      </c>
      <c r="C392" s="6" t="s">
        <v>291</v>
      </c>
      <c r="D392" s="10" t="s">
        <v>283</v>
      </c>
    </row>
    <row r="393" spans="2:4" ht="15" x14ac:dyDescent="0.2">
      <c r="B393" s="31">
        <v>48746</v>
      </c>
      <c r="C393" s="6" t="s">
        <v>284</v>
      </c>
      <c r="D393" s="10" t="s">
        <v>285</v>
      </c>
    </row>
    <row r="394" spans="2:4" ht="15" x14ac:dyDescent="0.2">
      <c r="B394" s="31">
        <v>48829</v>
      </c>
      <c r="C394" s="6" t="s">
        <v>292</v>
      </c>
      <c r="D394" s="10" t="s">
        <v>286</v>
      </c>
    </row>
    <row r="395" spans="2:4" ht="15" x14ac:dyDescent="0.2">
      <c r="B395" s="31">
        <v>48864</v>
      </c>
      <c r="C395" s="6" t="s">
        <v>292</v>
      </c>
      <c r="D395" s="10" t="s">
        <v>287</v>
      </c>
    </row>
    <row r="396" spans="2:4" ht="15" x14ac:dyDescent="0.2">
      <c r="B396" s="31">
        <v>48885</v>
      </c>
      <c r="C396" s="6" t="s">
        <v>292</v>
      </c>
      <c r="D396" s="10" t="s">
        <v>288</v>
      </c>
    </row>
    <row r="397" spans="2:4" ht="15" x14ac:dyDescent="0.2">
      <c r="B397" s="31">
        <v>48898</v>
      </c>
      <c r="C397" s="6" t="s">
        <v>278</v>
      </c>
      <c r="D397" s="10" t="s">
        <v>289</v>
      </c>
    </row>
    <row r="398" spans="2:4" ht="15" x14ac:dyDescent="0.2">
      <c r="B398" s="31">
        <v>48938</v>
      </c>
      <c r="C398" s="6" t="s">
        <v>291</v>
      </c>
      <c r="D398" s="10" t="s">
        <v>290</v>
      </c>
    </row>
    <row r="399" spans="2:4" ht="15" x14ac:dyDescent="0.2">
      <c r="B399" s="31">
        <v>48945</v>
      </c>
      <c r="C399" s="6" t="s">
        <v>291</v>
      </c>
      <c r="D399" s="10" t="s">
        <v>276</v>
      </c>
    </row>
    <row r="400" spans="2:4" ht="15" x14ac:dyDescent="0.2">
      <c r="B400" s="31">
        <v>48995</v>
      </c>
      <c r="C400" s="6" t="s">
        <v>275</v>
      </c>
      <c r="D400" s="10" t="s">
        <v>277</v>
      </c>
    </row>
    <row r="401" spans="2:4" ht="15" x14ac:dyDescent="0.2">
      <c r="B401" s="31">
        <v>48996</v>
      </c>
      <c r="C401" s="6" t="s">
        <v>278</v>
      </c>
      <c r="D401" s="10" t="s">
        <v>277</v>
      </c>
    </row>
    <row r="402" spans="2:4" ht="15" x14ac:dyDescent="0.2">
      <c r="B402" s="31">
        <v>49041</v>
      </c>
      <c r="C402" s="6" t="s">
        <v>279</v>
      </c>
      <c r="D402" s="10" t="s">
        <v>280</v>
      </c>
    </row>
    <row r="403" spans="2:4" ht="15" x14ac:dyDescent="0.2">
      <c r="B403" s="31">
        <v>49055</v>
      </c>
      <c r="C403" s="6" t="s">
        <v>279</v>
      </c>
      <c r="D403" s="10" t="s">
        <v>282</v>
      </c>
    </row>
    <row r="404" spans="2:4" ht="15" x14ac:dyDescent="0.2">
      <c r="B404" s="31">
        <v>49065</v>
      </c>
      <c r="C404" s="6" t="s">
        <v>275</v>
      </c>
      <c r="D404" s="10" t="s">
        <v>283</v>
      </c>
    </row>
    <row r="405" spans="2:4" ht="15" x14ac:dyDescent="0.2">
      <c r="B405" s="31">
        <v>49103</v>
      </c>
      <c r="C405" s="6" t="s">
        <v>284</v>
      </c>
      <c r="D405" s="10" t="s">
        <v>285</v>
      </c>
    </row>
    <row r="406" spans="2:4" ht="15" x14ac:dyDescent="0.2">
      <c r="B406" s="31">
        <v>49194</v>
      </c>
      <c r="C406" s="6" t="s">
        <v>284</v>
      </c>
      <c r="D406" s="10" t="s">
        <v>286</v>
      </c>
    </row>
    <row r="407" spans="2:4" ht="15" x14ac:dyDescent="0.2">
      <c r="B407" s="31">
        <v>49229</v>
      </c>
      <c r="C407" s="6" t="s">
        <v>284</v>
      </c>
      <c r="D407" s="10" t="s">
        <v>287</v>
      </c>
    </row>
    <row r="408" spans="2:4" ht="15" x14ac:dyDescent="0.2">
      <c r="B408" s="31">
        <v>49250</v>
      </c>
      <c r="C408" s="6" t="s">
        <v>284</v>
      </c>
      <c r="D408" s="10" t="s">
        <v>288</v>
      </c>
    </row>
    <row r="409" spans="2:4" ht="15" x14ac:dyDescent="0.2">
      <c r="B409" s="31">
        <v>49263</v>
      </c>
      <c r="C409" s="6" t="s">
        <v>292</v>
      </c>
      <c r="D409" s="10" t="s">
        <v>289</v>
      </c>
    </row>
    <row r="410" spans="2:4" ht="15" x14ac:dyDescent="0.2">
      <c r="B410" s="31">
        <v>49303</v>
      </c>
      <c r="C410" s="6" t="s">
        <v>275</v>
      </c>
      <c r="D410" s="10" t="s">
        <v>290</v>
      </c>
    </row>
    <row r="411" spans="2:4" ht="15" x14ac:dyDescent="0.2">
      <c r="B411" s="31">
        <v>49310</v>
      </c>
      <c r="C411" s="6" t="s">
        <v>275</v>
      </c>
      <c r="D411" s="10" t="s">
        <v>276</v>
      </c>
    </row>
    <row r="412" spans="2:4" ht="15" x14ac:dyDescent="0.2">
      <c r="B412" s="31">
        <v>49345</v>
      </c>
      <c r="C412" s="6" t="s">
        <v>275</v>
      </c>
      <c r="D412" s="10" t="s">
        <v>277</v>
      </c>
    </row>
    <row r="413" spans="2:4" ht="15" x14ac:dyDescent="0.2">
      <c r="B413" s="31">
        <v>49346</v>
      </c>
      <c r="C413" s="6" t="s">
        <v>278</v>
      </c>
      <c r="D413" s="10" t="s">
        <v>277</v>
      </c>
    </row>
    <row r="414" spans="2:4" ht="15" x14ac:dyDescent="0.2">
      <c r="B414" s="31">
        <v>49391</v>
      </c>
      <c r="C414" s="6" t="s">
        <v>279</v>
      </c>
      <c r="D414" s="10" t="s">
        <v>280</v>
      </c>
    </row>
    <row r="415" spans="2:4" ht="15" x14ac:dyDescent="0.2">
      <c r="B415" s="31">
        <v>49420</v>
      </c>
      <c r="C415" s="6" t="s">
        <v>281</v>
      </c>
      <c r="D415" s="10" t="s">
        <v>282</v>
      </c>
    </row>
    <row r="416" spans="2:4" ht="15" x14ac:dyDescent="0.2">
      <c r="B416" s="31">
        <v>49430</v>
      </c>
      <c r="C416" s="6" t="s">
        <v>278</v>
      </c>
      <c r="D416" s="10" t="s">
        <v>283</v>
      </c>
    </row>
    <row r="417" spans="2:4" ht="15" x14ac:dyDescent="0.2">
      <c r="B417" s="31">
        <v>49453</v>
      </c>
      <c r="C417" s="6" t="s">
        <v>284</v>
      </c>
      <c r="D417" s="10" t="s">
        <v>285</v>
      </c>
    </row>
    <row r="418" spans="2:4" ht="15" x14ac:dyDescent="0.2">
      <c r="B418" s="31">
        <v>49559</v>
      </c>
      <c r="C418" s="6" t="s">
        <v>279</v>
      </c>
      <c r="D418" s="10" t="s">
        <v>286</v>
      </c>
    </row>
    <row r="419" spans="2:4" ht="15" x14ac:dyDescent="0.2">
      <c r="B419" s="31">
        <v>49594</v>
      </c>
      <c r="C419" s="6" t="s">
        <v>279</v>
      </c>
      <c r="D419" s="10" t="s">
        <v>287</v>
      </c>
    </row>
    <row r="420" spans="2:4" ht="15" x14ac:dyDescent="0.2">
      <c r="B420" s="31">
        <v>49615</v>
      </c>
      <c r="C420" s="6" t="s">
        <v>279</v>
      </c>
      <c r="D420" s="10" t="s">
        <v>288</v>
      </c>
    </row>
    <row r="421" spans="2:4" ht="15" x14ac:dyDescent="0.2">
      <c r="B421" s="31">
        <v>49628</v>
      </c>
      <c r="C421" s="6" t="s">
        <v>284</v>
      </c>
      <c r="D421" s="10" t="s">
        <v>289</v>
      </c>
    </row>
    <row r="422" spans="2:4" ht="15" x14ac:dyDescent="0.2">
      <c r="B422" s="31">
        <v>49668</v>
      </c>
      <c r="C422" s="6" t="s">
        <v>278</v>
      </c>
      <c r="D422" s="10" t="s">
        <v>290</v>
      </c>
    </row>
    <row r="423" spans="2:4" ht="15" x14ac:dyDescent="0.2">
      <c r="B423" s="31">
        <v>49675</v>
      </c>
      <c r="C423" s="6" t="s">
        <v>278</v>
      </c>
      <c r="D423" s="10" t="s">
        <v>276</v>
      </c>
    </row>
    <row r="424" spans="2:4" ht="15" x14ac:dyDescent="0.2">
      <c r="B424" s="31">
        <v>49730</v>
      </c>
      <c r="C424" s="6" t="s">
        <v>275</v>
      </c>
      <c r="D424" s="10" t="s">
        <v>277</v>
      </c>
    </row>
    <row r="425" spans="2:4" ht="15" x14ac:dyDescent="0.2">
      <c r="B425" s="31">
        <v>49731</v>
      </c>
      <c r="C425" s="6" t="s">
        <v>278</v>
      </c>
      <c r="D425" s="10" t="s">
        <v>277</v>
      </c>
    </row>
    <row r="426" spans="2:4" ht="15" x14ac:dyDescent="0.2">
      <c r="B426" s="31">
        <v>49776</v>
      </c>
      <c r="C426" s="6" t="s">
        <v>279</v>
      </c>
      <c r="D426" s="10" t="s">
        <v>280</v>
      </c>
    </row>
    <row r="427" spans="2:4" ht="15" x14ac:dyDescent="0.2">
      <c r="B427" s="31">
        <v>49786</v>
      </c>
      <c r="C427" s="6" t="s">
        <v>275</v>
      </c>
      <c r="D427" s="10" t="s">
        <v>282</v>
      </c>
    </row>
    <row r="428" spans="2:4" ht="15" x14ac:dyDescent="0.2">
      <c r="B428" s="31">
        <v>49796</v>
      </c>
      <c r="C428" s="6" t="s">
        <v>284</v>
      </c>
      <c r="D428" s="10" t="s">
        <v>283</v>
      </c>
    </row>
    <row r="429" spans="2:4" ht="15" x14ac:dyDescent="0.2">
      <c r="B429" s="31">
        <v>49838</v>
      </c>
      <c r="C429" s="6" t="s">
        <v>284</v>
      </c>
      <c r="D429" s="10" t="s">
        <v>285</v>
      </c>
    </row>
    <row r="430" spans="2:4" ht="15" x14ac:dyDescent="0.2">
      <c r="B430" s="31">
        <v>49925</v>
      </c>
      <c r="C430" s="6" t="s">
        <v>291</v>
      </c>
      <c r="D430" s="10" t="s">
        <v>286</v>
      </c>
    </row>
    <row r="431" spans="2:4" ht="15" x14ac:dyDescent="0.2">
      <c r="B431" s="31">
        <v>49960</v>
      </c>
      <c r="C431" s="6" t="s">
        <v>291</v>
      </c>
      <c r="D431" s="10" t="s">
        <v>287</v>
      </c>
    </row>
    <row r="432" spans="2:4" ht="15" x14ac:dyDescent="0.2">
      <c r="B432" s="31">
        <v>49981</v>
      </c>
      <c r="C432" s="6" t="s">
        <v>291</v>
      </c>
      <c r="D432" s="10" t="s">
        <v>288</v>
      </c>
    </row>
    <row r="433" spans="2:4" ht="15" x14ac:dyDescent="0.2">
      <c r="B433" s="31">
        <v>49994</v>
      </c>
      <c r="C433" s="6" t="s">
        <v>281</v>
      </c>
      <c r="D433" s="10" t="s">
        <v>289</v>
      </c>
    </row>
    <row r="434" spans="2:4" ht="15" x14ac:dyDescent="0.2">
      <c r="B434" s="31">
        <v>50034</v>
      </c>
      <c r="C434" s="6" t="s">
        <v>284</v>
      </c>
      <c r="D434" s="10" t="s">
        <v>290</v>
      </c>
    </row>
    <row r="435" spans="2:4" ht="15" x14ac:dyDescent="0.2">
      <c r="B435" s="31">
        <v>50041</v>
      </c>
      <c r="C435" s="6" t="s">
        <v>284</v>
      </c>
      <c r="D435" s="10" t="s">
        <v>276</v>
      </c>
    </row>
    <row r="436" spans="2:4" ht="15" x14ac:dyDescent="0.2">
      <c r="B436" s="31">
        <v>50087</v>
      </c>
      <c r="C436" s="6" t="s">
        <v>275</v>
      </c>
      <c r="D436" s="10" t="s">
        <v>277</v>
      </c>
    </row>
    <row r="437" spans="2:4" ht="15" x14ac:dyDescent="0.2">
      <c r="B437" s="31">
        <v>50088</v>
      </c>
      <c r="C437" s="6" t="s">
        <v>278</v>
      </c>
      <c r="D437" s="10" t="s">
        <v>277</v>
      </c>
    </row>
    <row r="438" spans="2:4" ht="15" x14ac:dyDescent="0.2">
      <c r="B438" s="31">
        <v>50133</v>
      </c>
      <c r="C438" s="6" t="s">
        <v>279</v>
      </c>
      <c r="D438" s="10" t="s">
        <v>280</v>
      </c>
    </row>
    <row r="439" spans="2:4" ht="15" x14ac:dyDescent="0.2">
      <c r="B439" s="31">
        <v>50151</v>
      </c>
      <c r="C439" s="6" t="s">
        <v>278</v>
      </c>
      <c r="D439" s="10" t="s">
        <v>282</v>
      </c>
    </row>
    <row r="440" spans="2:4" ht="15" x14ac:dyDescent="0.2">
      <c r="B440" s="31">
        <v>50161</v>
      </c>
      <c r="C440" s="6" t="s">
        <v>279</v>
      </c>
      <c r="D440" s="10" t="s">
        <v>283</v>
      </c>
    </row>
    <row r="441" spans="2:4" ht="15" x14ac:dyDescent="0.2">
      <c r="B441" s="31">
        <v>50195</v>
      </c>
      <c r="C441" s="6" t="s">
        <v>284</v>
      </c>
      <c r="D441" s="10" t="s">
        <v>285</v>
      </c>
    </row>
    <row r="442" spans="2:4" ht="15" x14ac:dyDescent="0.2">
      <c r="B442" s="31">
        <v>50290</v>
      </c>
      <c r="C442" s="6" t="s">
        <v>275</v>
      </c>
      <c r="D442" s="10" t="s">
        <v>286</v>
      </c>
    </row>
    <row r="443" spans="2:4" ht="15" x14ac:dyDescent="0.2">
      <c r="B443" s="31">
        <v>50325</v>
      </c>
      <c r="C443" s="6" t="s">
        <v>275</v>
      </c>
      <c r="D443" s="10" t="s">
        <v>287</v>
      </c>
    </row>
    <row r="444" spans="2:4" ht="15" x14ac:dyDescent="0.2">
      <c r="B444" s="31">
        <v>50346</v>
      </c>
      <c r="C444" s="6" t="s">
        <v>275</v>
      </c>
      <c r="D444" s="10" t="s">
        <v>288</v>
      </c>
    </row>
    <row r="445" spans="2:4" ht="15" x14ac:dyDescent="0.2">
      <c r="B445" s="31">
        <v>50359</v>
      </c>
      <c r="C445" s="6" t="s">
        <v>291</v>
      </c>
      <c r="D445" s="10" t="s">
        <v>289</v>
      </c>
    </row>
    <row r="446" spans="2:4" ht="15" x14ac:dyDescent="0.2">
      <c r="B446" s="31">
        <v>50399</v>
      </c>
      <c r="C446" s="6" t="s">
        <v>279</v>
      </c>
      <c r="D446" s="10" t="s">
        <v>290</v>
      </c>
    </row>
    <row r="447" spans="2:4" ht="15" x14ac:dyDescent="0.2">
      <c r="B447" s="31">
        <v>50406</v>
      </c>
      <c r="C447" s="6" t="s">
        <v>279</v>
      </c>
      <c r="D447" s="10" t="s">
        <v>276</v>
      </c>
    </row>
    <row r="448" spans="2:4" ht="15" x14ac:dyDescent="0.2">
      <c r="B448" s="31">
        <v>50472</v>
      </c>
      <c r="C448" s="6" t="s">
        <v>275</v>
      </c>
      <c r="D448" s="10" t="s">
        <v>277</v>
      </c>
    </row>
    <row r="449" spans="2:4" ht="15" x14ac:dyDescent="0.2">
      <c r="B449" s="31">
        <v>50473</v>
      </c>
      <c r="C449" s="6" t="s">
        <v>278</v>
      </c>
      <c r="D449" s="10" t="s">
        <v>277</v>
      </c>
    </row>
    <row r="450" spans="2:4" ht="15" x14ac:dyDescent="0.2">
      <c r="B450" s="31">
        <v>50516</v>
      </c>
      <c r="C450" s="6" t="s">
        <v>292</v>
      </c>
      <c r="D450" s="10" t="s">
        <v>282</v>
      </c>
    </row>
    <row r="451" spans="2:4" ht="15" x14ac:dyDescent="0.2">
      <c r="B451" s="31">
        <v>50518</v>
      </c>
      <c r="C451" s="6" t="s">
        <v>279</v>
      </c>
      <c r="D451" s="10" t="s">
        <v>280</v>
      </c>
    </row>
    <row r="452" spans="2:4" ht="15" x14ac:dyDescent="0.2">
      <c r="B452" s="31">
        <v>50526</v>
      </c>
      <c r="C452" s="6" t="s">
        <v>281</v>
      </c>
      <c r="D452" s="10" t="s">
        <v>283</v>
      </c>
    </row>
    <row r="453" spans="2:4" ht="15" x14ac:dyDescent="0.2">
      <c r="B453" s="31">
        <v>50580</v>
      </c>
      <c r="C453" s="6" t="s">
        <v>284</v>
      </c>
      <c r="D453" s="10" t="s">
        <v>285</v>
      </c>
    </row>
    <row r="454" spans="2:4" ht="15" x14ac:dyDescent="0.2">
      <c r="B454" s="31">
        <v>50655</v>
      </c>
      <c r="C454" s="6" t="s">
        <v>278</v>
      </c>
      <c r="D454" s="10" t="s">
        <v>286</v>
      </c>
    </row>
    <row r="455" spans="2:4" ht="15" x14ac:dyDescent="0.2">
      <c r="B455" s="31">
        <v>50690</v>
      </c>
      <c r="C455" s="6" t="s">
        <v>278</v>
      </c>
      <c r="D455" s="10" t="s">
        <v>287</v>
      </c>
    </row>
    <row r="456" spans="2:4" ht="15" x14ac:dyDescent="0.2">
      <c r="B456" s="31">
        <v>50711</v>
      </c>
      <c r="C456" s="6" t="s">
        <v>278</v>
      </c>
      <c r="D456" s="10" t="s">
        <v>288</v>
      </c>
    </row>
    <row r="457" spans="2:4" ht="15" x14ac:dyDescent="0.2">
      <c r="B457" s="31">
        <v>50724</v>
      </c>
      <c r="C457" s="6" t="s">
        <v>275</v>
      </c>
      <c r="D457" s="10" t="s">
        <v>289</v>
      </c>
    </row>
    <row r="458" spans="2:4" ht="15" x14ac:dyDescent="0.2">
      <c r="B458" s="31">
        <v>50764</v>
      </c>
      <c r="C458" s="6" t="s">
        <v>281</v>
      </c>
      <c r="D458" s="10" t="s">
        <v>290</v>
      </c>
    </row>
    <row r="459" spans="2:4" ht="15" x14ac:dyDescent="0.2">
      <c r="B459" s="31">
        <v>50771</v>
      </c>
      <c r="C459" s="6" t="s">
        <v>281</v>
      </c>
      <c r="D459" s="10" t="s">
        <v>276</v>
      </c>
    </row>
    <row r="460" spans="2:4" ht="15" x14ac:dyDescent="0.2">
      <c r="B460" s="31">
        <v>50822</v>
      </c>
      <c r="C460" s="6" t="s">
        <v>275</v>
      </c>
      <c r="D460" s="10" t="s">
        <v>277</v>
      </c>
    </row>
    <row r="461" spans="2:4" ht="15" x14ac:dyDescent="0.2">
      <c r="B461" s="31">
        <v>50823</v>
      </c>
      <c r="C461" s="6" t="s">
        <v>278</v>
      </c>
      <c r="D461" s="10" t="s">
        <v>277</v>
      </c>
    </row>
    <row r="462" spans="2:4" ht="15" x14ac:dyDescent="0.2">
      <c r="B462" s="31">
        <v>50868</v>
      </c>
      <c r="C462" s="6" t="s">
        <v>279</v>
      </c>
      <c r="D462" s="10" t="s">
        <v>280</v>
      </c>
    </row>
    <row r="463" spans="2:4" ht="15" x14ac:dyDescent="0.2">
      <c r="B463" s="31">
        <v>50881</v>
      </c>
      <c r="C463" s="6" t="s">
        <v>284</v>
      </c>
      <c r="D463" s="10" t="s">
        <v>282</v>
      </c>
    </row>
    <row r="464" spans="2:4" ht="15" x14ac:dyDescent="0.2">
      <c r="B464" s="31">
        <v>50891</v>
      </c>
      <c r="C464" s="6" t="s">
        <v>291</v>
      </c>
      <c r="D464" s="10" t="s">
        <v>283</v>
      </c>
    </row>
    <row r="465" spans="2:4" ht="15" x14ac:dyDescent="0.2">
      <c r="B465" s="31">
        <v>50930</v>
      </c>
      <c r="C465" s="6" t="s">
        <v>284</v>
      </c>
      <c r="D465" s="10" t="s">
        <v>285</v>
      </c>
    </row>
    <row r="466" spans="2:4" ht="15" x14ac:dyDescent="0.2">
      <c r="B466" s="31">
        <v>51020</v>
      </c>
      <c r="C466" s="6" t="s">
        <v>292</v>
      </c>
      <c r="D466" s="10" t="s">
        <v>286</v>
      </c>
    </row>
    <row r="467" spans="2:4" ht="15" x14ac:dyDescent="0.2">
      <c r="B467" s="31">
        <v>51055</v>
      </c>
      <c r="C467" s="6" t="s">
        <v>292</v>
      </c>
      <c r="D467" s="10" t="s">
        <v>287</v>
      </c>
    </row>
    <row r="468" spans="2:4" ht="15" x14ac:dyDescent="0.2">
      <c r="B468" s="31">
        <v>51076</v>
      </c>
      <c r="C468" s="6" t="s">
        <v>292</v>
      </c>
      <c r="D468" s="10" t="s">
        <v>288</v>
      </c>
    </row>
    <row r="469" spans="2:4" ht="15" x14ac:dyDescent="0.2">
      <c r="B469" s="31">
        <v>51089</v>
      </c>
      <c r="C469" s="6" t="s">
        <v>278</v>
      </c>
      <c r="D469" s="10" t="s">
        <v>289</v>
      </c>
    </row>
    <row r="470" spans="2:4" ht="15" x14ac:dyDescent="0.2">
      <c r="B470" s="31">
        <v>51129</v>
      </c>
      <c r="C470" s="6" t="s">
        <v>291</v>
      </c>
      <c r="D470" s="10" t="s">
        <v>290</v>
      </c>
    </row>
    <row r="471" spans="2:4" ht="15" x14ac:dyDescent="0.2">
      <c r="B471" s="31">
        <v>51136</v>
      </c>
      <c r="C471" s="6" t="s">
        <v>291</v>
      </c>
      <c r="D471" s="10" t="s">
        <v>276</v>
      </c>
    </row>
    <row r="472" spans="2:4" ht="15" x14ac:dyDescent="0.2">
      <c r="B472" s="31">
        <v>51179</v>
      </c>
      <c r="C472" s="6" t="s">
        <v>275</v>
      </c>
      <c r="D472" s="10" t="s">
        <v>277</v>
      </c>
    </row>
    <row r="473" spans="2:4" ht="15" x14ac:dyDescent="0.2">
      <c r="B473" s="31">
        <v>51180</v>
      </c>
      <c r="C473" s="6" t="s">
        <v>278</v>
      </c>
      <c r="D473" s="10" t="s">
        <v>277</v>
      </c>
    </row>
    <row r="474" spans="2:4" ht="15" x14ac:dyDescent="0.2">
      <c r="B474" s="31">
        <v>51225</v>
      </c>
      <c r="C474" s="6" t="s">
        <v>279</v>
      </c>
      <c r="D474" s="10" t="s">
        <v>280</v>
      </c>
    </row>
    <row r="475" spans="2:4" ht="15" x14ac:dyDescent="0.2">
      <c r="B475" s="31">
        <v>51247</v>
      </c>
      <c r="C475" s="6" t="s">
        <v>281</v>
      </c>
      <c r="D475" s="10" t="s">
        <v>282</v>
      </c>
    </row>
    <row r="476" spans="2:4" ht="15" x14ac:dyDescent="0.2">
      <c r="B476" s="31">
        <v>51257</v>
      </c>
      <c r="C476" s="6" t="s">
        <v>278</v>
      </c>
      <c r="D476" s="10" t="s">
        <v>283</v>
      </c>
    </row>
    <row r="477" spans="2:4" ht="15" x14ac:dyDescent="0.2">
      <c r="B477" s="31">
        <v>51287</v>
      </c>
      <c r="C477" s="6" t="s">
        <v>284</v>
      </c>
      <c r="D477" s="10" t="s">
        <v>285</v>
      </c>
    </row>
    <row r="478" spans="2:4" ht="15" x14ac:dyDescent="0.2">
      <c r="B478" s="31">
        <v>51386</v>
      </c>
      <c r="C478" s="6" t="s">
        <v>279</v>
      </c>
      <c r="D478" s="10" t="s">
        <v>286</v>
      </c>
    </row>
    <row r="479" spans="2:4" ht="15" x14ac:dyDescent="0.2">
      <c r="B479" s="31">
        <v>51421</v>
      </c>
      <c r="C479" s="6" t="s">
        <v>279</v>
      </c>
      <c r="D479" s="10" t="s">
        <v>287</v>
      </c>
    </row>
    <row r="480" spans="2:4" ht="15" x14ac:dyDescent="0.2">
      <c r="B480" s="31">
        <v>51442</v>
      </c>
      <c r="C480" s="6" t="s">
        <v>279</v>
      </c>
      <c r="D480" s="10" t="s">
        <v>288</v>
      </c>
    </row>
    <row r="481" spans="2:4" ht="15" x14ac:dyDescent="0.2">
      <c r="B481" s="31">
        <v>51455</v>
      </c>
      <c r="C481" s="6" t="s">
        <v>284</v>
      </c>
      <c r="D481" s="10" t="s">
        <v>289</v>
      </c>
    </row>
    <row r="482" spans="2:4" ht="15" x14ac:dyDescent="0.2">
      <c r="B482" s="31">
        <v>51495</v>
      </c>
      <c r="C482" s="6" t="s">
        <v>278</v>
      </c>
      <c r="D482" s="10" t="s">
        <v>290</v>
      </c>
    </row>
    <row r="483" spans="2:4" ht="15" x14ac:dyDescent="0.2">
      <c r="B483" s="31">
        <v>51502</v>
      </c>
      <c r="C483" s="6" t="s">
        <v>278</v>
      </c>
      <c r="D483" s="10" t="s">
        <v>276</v>
      </c>
    </row>
    <row r="484" spans="2:4" ht="15" x14ac:dyDescent="0.2">
      <c r="B484" s="31">
        <v>51564</v>
      </c>
      <c r="C484" s="6" t="s">
        <v>275</v>
      </c>
      <c r="D484" s="10" t="s">
        <v>277</v>
      </c>
    </row>
    <row r="485" spans="2:4" ht="15" x14ac:dyDescent="0.2">
      <c r="B485" s="31">
        <v>51565</v>
      </c>
      <c r="C485" s="6" t="s">
        <v>278</v>
      </c>
      <c r="D485" s="10" t="s">
        <v>277</v>
      </c>
    </row>
    <row r="486" spans="2:4" ht="15" x14ac:dyDescent="0.2">
      <c r="B486" s="31">
        <v>51610</v>
      </c>
      <c r="C486" s="6" t="s">
        <v>279</v>
      </c>
      <c r="D486" s="10" t="s">
        <v>280</v>
      </c>
    </row>
    <row r="487" spans="2:4" ht="15" x14ac:dyDescent="0.2">
      <c r="B487" s="31">
        <v>51612</v>
      </c>
      <c r="C487" s="6" t="s">
        <v>291</v>
      </c>
      <c r="D487" s="10" t="s">
        <v>282</v>
      </c>
    </row>
    <row r="488" spans="2:4" ht="15" x14ac:dyDescent="0.2">
      <c r="B488" s="31">
        <v>51622</v>
      </c>
      <c r="C488" s="6" t="s">
        <v>292</v>
      </c>
      <c r="D488" s="10" t="s">
        <v>283</v>
      </c>
    </row>
    <row r="489" spans="2:4" ht="15" x14ac:dyDescent="0.2">
      <c r="B489" s="31">
        <v>51672</v>
      </c>
      <c r="C489" s="6" t="s">
        <v>284</v>
      </c>
      <c r="D489" s="10" t="s">
        <v>285</v>
      </c>
    </row>
    <row r="490" spans="2:4" ht="15" x14ac:dyDescent="0.2">
      <c r="B490" s="31">
        <v>51751</v>
      </c>
      <c r="C490" s="6" t="s">
        <v>281</v>
      </c>
      <c r="D490" s="10" t="s">
        <v>286</v>
      </c>
    </row>
    <row r="491" spans="2:4" ht="15" x14ac:dyDescent="0.2">
      <c r="B491" s="31">
        <v>51786</v>
      </c>
      <c r="C491" s="6" t="s">
        <v>281</v>
      </c>
      <c r="D491" s="10" t="s">
        <v>287</v>
      </c>
    </row>
    <row r="492" spans="2:4" ht="15" x14ac:dyDescent="0.2">
      <c r="B492" s="31">
        <v>51807</v>
      </c>
      <c r="C492" s="6" t="s">
        <v>281</v>
      </c>
      <c r="D492" s="10" t="s">
        <v>288</v>
      </c>
    </row>
    <row r="493" spans="2:4" ht="15" x14ac:dyDescent="0.2">
      <c r="B493" s="31">
        <v>51820</v>
      </c>
      <c r="C493" s="6" t="s">
        <v>279</v>
      </c>
      <c r="D493" s="10" t="s">
        <v>289</v>
      </c>
    </row>
    <row r="494" spans="2:4" ht="15" x14ac:dyDescent="0.2">
      <c r="B494" s="31">
        <v>51860</v>
      </c>
      <c r="C494" s="6" t="s">
        <v>292</v>
      </c>
      <c r="D494" s="10" t="s">
        <v>290</v>
      </c>
    </row>
    <row r="495" spans="2:4" ht="15" x14ac:dyDescent="0.2">
      <c r="B495" s="31">
        <v>51867</v>
      </c>
      <c r="C495" s="6" t="s">
        <v>292</v>
      </c>
      <c r="D495" s="10" t="s">
        <v>276</v>
      </c>
    </row>
    <row r="496" spans="2:4" ht="15" x14ac:dyDescent="0.2">
      <c r="B496" s="31">
        <v>51914</v>
      </c>
      <c r="C496" s="6" t="s">
        <v>275</v>
      </c>
      <c r="D496" s="10" t="s">
        <v>277</v>
      </c>
    </row>
    <row r="497" spans="2:4" ht="15" x14ac:dyDescent="0.2">
      <c r="B497" s="31">
        <v>51915</v>
      </c>
      <c r="C497" s="6" t="s">
        <v>278</v>
      </c>
      <c r="D497" s="10" t="s">
        <v>277</v>
      </c>
    </row>
    <row r="498" spans="2:4" ht="15" x14ac:dyDescent="0.2">
      <c r="B498" s="31">
        <v>51960</v>
      </c>
      <c r="C498" s="6" t="s">
        <v>279</v>
      </c>
      <c r="D498" s="10" t="s">
        <v>280</v>
      </c>
    </row>
    <row r="499" spans="2:4" ht="15" x14ac:dyDescent="0.2">
      <c r="B499" s="31">
        <v>51977</v>
      </c>
      <c r="C499" s="6" t="s">
        <v>275</v>
      </c>
      <c r="D499" s="10" t="s">
        <v>282</v>
      </c>
    </row>
    <row r="500" spans="2:4" ht="15" x14ac:dyDescent="0.2">
      <c r="B500" s="31">
        <v>51987</v>
      </c>
      <c r="C500" s="6" t="s">
        <v>284</v>
      </c>
      <c r="D500" s="10" t="s">
        <v>283</v>
      </c>
    </row>
    <row r="501" spans="2:4" ht="15" x14ac:dyDescent="0.2">
      <c r="B501" s="31">
        <v>52022</v>
      </c>
      <c r="C501" s="6" t="s">
        <v>284</v>
      </c>
      <c r="D501" s="10" t="s">
        <v>285</v>
      </c>
    </row>
    <row r="502" spans="2:4" ht="15" x14ac:dyDescent="0.2">
      <c r="B502" s="31">
        <v>52116</v>
      </c>
      <c r="C502" s="6" t="s">
        <v>291</v>
      </c>
      <c r="D502" s="10" t="s">
        <v>286</v>
      </c>
    </row>
    <row r="503" spans="2:4" ht="15" x14ac:dyDescent="0.2">
      <c r="B503" s="31">
        <v>52151</v>
      </c>
      <c r="C503" s="6" t="s">
        <v>291</v>
      </c>
      <c r="D503" s="10" t="s">
        <v>287</v>
      </c>
    </row>
    <row r="504" spans="2:4" ht="15" x14ac:dyDescent="0.2">
      <c r="B504" s="31">
        <v>52172</v>
      </c>
      <c r="C504" s="6" t="s">
        <v>291</v>
      </c>
      <c r="D504" s="10" t="s">
        <v>288</v>
      </c>
    </row>
    <row r="505" spans="2:4" ht="15" x14ac:dyDescent="0.2">
      <c r="B505" s="31">
        <v>52185</v>
      </c>
      <c r="C505" s="6" t="s">
        <v>281</v>
      </c>
      <c r="D505" s="10" t="s">
        <v>289</v>
      </c>
    </row>
    <row r="506" spans="2:4" ht="15" x14ac:dyDescent="0.2">
      <c r="B506" s="31">
        <v>52225</v>
      </c>
      <c r="C506" s="6" t="s">
        <v>284</v>
      </c>
      <c r="D506" s="10" t="s">
        <v>290</v>
      </c>
    </row>
    <row r="507" spans="2:4" ht="15" x14ac:dyDescent="0.2">
      <c r="B507" s="31">
        <v>52232</v>
      </c>
      <c r="C507" s="6" t="s">
        <v>284</v>
      </c>
      <c r="D507" s="10" t="s">
        <v>276</v>
      </c>
    </row>
    <row r="508" spans="2:4" ht="15" x14ac:dyDescent="0.2">
      <c r="B508" s="31">
        <v>52271</v>
      </c>
      <c r="C508" s="6" t="s">
        <v>275</v>
      </c>
      <c r="D508" s="10" t="s">
        <v>277</v>
      </c>
    </row>
    <row r="509" spans="2:4" ht="15" x14ac:dyDescent="0.2">
      <c r="B509" s="31">
        <v>52272</v>
      </c>
      <c r="C509" s="6" t="s">
        <v>278</v>
      </c>
      <c r="D509" s="10" t="s">
        <v>277</v>
      </c>
    </row>
    <row r="510" spans="2:4" ht="15" x14ac:dyDescent="0.2">
      <c r="B510" s="31">
        <v>52317</v>
      </c>
      <c r="C510" s="6" t="s">
        <v>279</v>
      </c>
      <c r="D510" s="10" t="s">
        <v>280</v>
      </c>
    </row>
    <row r="511" spans="2:4" ht="15" x14ac:dyDescent="0.2">
      <c r="B511" s="31">
        <v>52342</v>
      </c>
      <c r="C511" s="6" t="s">
        <v>278</v>
      </c>
      <c r="D511" s="10" t="s">
        <v>282</v>
      </c>
    </row>
    <row r="512" spans="2:4" ht="15" x14ac:dyDescent="0.2">
      <c r="B512" s="31">
        <v>52352</v>
      </c>
      <c r="C512" s="6" t="s">
        <v>279</v>
      </c>
      <c r="D512" s="10" t="s">
        <v>283</v>
      </c>
    </row>
    <row r="513" spans="2:4" ht="15" x14ac:dyDescent="0.2">
      <c r="B513" s="31">
        <v>52379</v>
      </c>
      <c r="C513" s="6" t="s">
        <v>284</v>
      </c>
      <c r="D513" s="10" t="s">
        <v>285</v>
      </c>
    </row>
    <row r="514" spans="2:4" ht="15" x14ac:dyDescent="0.2">
      <c r="B514" s="31">
        <v>52481</v>
      </c>
      <c r="C514" s="6" t="s">
        <v>275</v>
      </c>
      <c r="D514" s="10" t="s">
        <v>286</v>
      </c>
    </row>
    <row r="515" spans="2:4" ht="15" x14ac:dyDescent="0.2">
      <c r="B515" s="31">
        <v>52516</v>
      </c>
      <c r="C515" s="6" t="s">
        <v>275</v>
      </c>
      <c r="D515" s="10" t="s">
        <v>287</v>
      </c>
    </row>
    <row r="516" spans="2:4" ht="15" x14ac:dyDescent="0.2">
      <c r="B516" s="31">
        <v>52537</v>
      </c>
      <c r="C516" s="6" t="s">
        <v>275</v>
      </c>
      <c r="D516" s="10" t="s">
        <v>288</v>
      </c>
    </row>
    <row r="517" spans="2:4" ht="15" x14ac:dyDescent="0.2">
      <c r="B517" s="31">
        <v>52550</v>
      </c>
      <c r="C517" s="6" t="s">
        <v>291</v>
      </c>
      <c r="D517" s="10" t="s">
        <v>289</v>
      </c>
    </row>
    <row r="518" spans="2:4" ht="15" x14ac:dyDescent="0.2">
      <c r="B518" s="31">
        <v>52590</v>
      </c>
      <c r="C518" s="6" t="s">
        <v>279</v>
      </c>
      <c r="D518" s="10" t="s">
        <v>290</v>
      </c>
    </row>
    <row r="519" spans="2:4" ht="15" x14ac:dyDescent="0.2">
      <c r="B519" s="31">
        <v>52597</v>
      </c>
      <c r="C519" s="6" t="s">
        <v>279</v>
      </c>
      <c r="D519" s="10" t="s">
        <v>276</v>
      </c>
    </row>
    <row r="520" spans="2:4" ht="15" x14ac:dyDescent="0.2">
      <c r="B520" s="31">
        <v>52656</v>
      </c>
      <c r="C520" s="6" t="s">
        <v>275</v>
      </c>
      <c r="D520" s="10" t="s">
        <v>277</v>
      </c>
    </row>
    <row r="521" spans="2:4" ht="15" x14ac:dyDescent="0.2">
      <c r="B521" s="31">
        <v>52657</v>
      </c>
      <c r="C521" s="6" t="s">
        <v>278</v>
      </c>
      <c r="D521" s="10" t="s">
        <v>277</v>
      </c>
    </row>
    <row r="522" spans="2:4" ht="15" x14ac:dyDescent="0.2">
      <c r="B522" s="31">
        <v>52702</v>
      </c>
      <c r="C522" s="6" t="s">
        <v>279</v>
      </c>
      <c r="D522" s="10" t="s">
        <v>280</v>
      </c>
    </row>
    <row r="523" spans="2:4" ht="15" x14ac:dyDescent="0.2">
      <c r="B523" s="31">
        <v>52708</v>
      </c>
      <c r="C523" s="6" t="s">
        <v>284</v>
      </c>
      <c r="D523" s="10" t="s">
        <v>282</v>
      </c>
    </row>
    <row r="524" spans="2:4" ht="15" x14ac:dyDescent="0.2">
      <c r="B524" s="31">
        <v>52718</v>
      </c>
      <c r="C524" s="6" t="s">
        <v>291</v>
      </c>
      <c r="D524" s="10" t="s">
        <v>283</v>
      </c>
    </row>
    <row r="525" spans="2:4" ht="15" x14ac:dyDescent="0.2">
      <c r="B525" s="31">
        <v>52764</v>
      </c>
      <c r="C525" s="6" t="s">
        <v>284</v>
      </c>
      <c r="D525" s="10" t="s">
        <v>285</v>
      </c>
    </row>
    <row r="526" spans="2:4" ht="15" x14ac:dyDescent="0.2">
      <c r="B526" s="31">
        <v>52847</v>
      </c>
      <c r="C526" s="6" t="s">
        <v>292</v>
      </c>
      <c r="D526" s="10" t="s">
        <v>286</v>
      </c>
    </row>
    <row r="527" spans="2:4" ht="15" x14ac:dyDescent="0.2">
      <c r="B527" s="31">
        <v>52882</v>
      </c>
      <c r="C527" s="6" t="s">
        <v>292</v>
      </c>
      <c r="D527" s="10" t="s">
        <v>287</v>
      </c>
    </row>
    <row r="528" spans="2:4" ht="15" x14ac:dyDescent="0.2">
      <c r="B528" s="31">
        <v>52903</v>
      </c>
      <c r="C528" s="6" t="s">
        <v>292</v>
      </c>
      <c r="D528" s="10" t="s">
        <v>288</v>
      </c>
    </row>
    <row r="529" spans="2:4" ht="15" x14ac:dyDescent="0.2">
      <c r="B529" s="31">
        <v>52916</v>
      </c>
      <c r="C529" s="6" t="s">
        <v>278</v>
      </c>
      <c r="D529" s="10" t="s">
        <v>289</v>
      </c>
    </row>
    <row r="530" spans="2:4" ht="15" x14ac:dyDescent="0.2">
      <c r="B530" s="31">
        <v>52956</v>
      </c>
      <c r="C530" s="6" t="s">
        <v>291</v>
      </c>
      <c r="D530" s="10" t="s">
        <v>290</v>
      </c>
    </row>
    <row r="531" spans="2:4" ht="15" x14ac:dyDescent="0.2">
      <c r="B531" s="31">
        <v>52963</v>
      </c>
      <c r="C531" s="6" t="s">
        <v>291</v>
      </c>
      <c r="D531" s="10" t="s">
        <v>276</v>
      </c>
    </row>
    <row r="532" spans="2:4" ht="15" x14ac:dyDescent="0.2">
      <c r="B532" s="31">
        <v>53013</v>
      </c>
      <c r="C532" s="6" t="s">
        <v>275</v>
      </c>
      <c r="D532" s="10" t="s">
        <v>277</v>
      </c>
    </row>
    <row r="533" spans="2:4" ht="15" x14ac:dyDescent="0.2">
      <c r="B533" s="31">
        <v>53014</v>
      </c>
      <c r="C533" s="6" t="s">
        <v>278</v>
      </c>
      <c r="D533" s="10" t="s">
        <v>277</v>
      </c>
    </row>
    <row r="534" spans="2:4" ht="15" x14ac:dyDescent="0.2">
      <c r="B534" s="31">
        <v>53059</v>
      </c>
      <c r="C534" s="6" t="s">
        <v>279</v>
      </c>
      <c r="D534" s="10" t="s">
        <v>280</v>
      </c>
    </row>
    <row r="535" spans="2:4" ht="15" x14ac:dyDescent="0.2">
      <c r="B535" s="31">
        <v>53073</v>
      </c>
      <c r="C535" s="6" t="s">
        <v>279</v>
      </c>
      <c r="D535" s="10" t="s">
        <v>282</v>
      </c>
    </row>
    <row r="536" spans="2:4" ht="15" x14ac:dyDescent="0.2">
      <c r="B536" s="31">
        <v>53083</v>
      </c>
      <c r="C536" s="6" t="s">
        <v>275</v>
      </c>
      <c r="D536" s="10" t="s">
        <v>283</v>
      </c>
    </row>
    <row r="537" spans="2:4" ht="15" x14ac:dyDescent="0.2">
      <c r="B537" s="31">
        <v>53121</v>
      </c>
      <c r="C537" s="6" t="s">
        <v>284</v>
      </c>
      <c r="D537" s="10" t="s">
        <v>285</v>
      </c>
    </row>
    <row r="538" spans="2:4" ht="15" x14ac:dyDescent="0.2">
      <c r="B538" s="31">
        <v>53212</v>
      </c>
      <c r="C538" s="6" t="s">
        <v>284</v>
      </c>
      <c r="D538" s="10" t="s">
        <v>286</v>
      </c>
    </row>
    <row r="539" spans="2:4" ht="15" x14ac:dyDescent="0.2">
      <c r="B539" s="31">
        <v>53247</v>
      </c>
      <c r="C539" s="6" t="s">
        <v>284</v>
      </c>
      <c r="D539" s="10" t="s">
        <v>287</v>
      </c>
    </row>
    <row r="540" spans="2:4" ht="15" x14ac:dyDescent="0.2">
      <c r="B540" s="31">
        <v>53268</v>
      </c>
      <c r="C540" s="6" t="s">
        <v>284</v>
      </c>
      <c r="D540" s="10" t="s">
        <v>288</v>
      </c>
    </row>
    <row r="541" spans="2:4" ht="15" x14ac:dyDescent="0.2">
      <c r="B541" s="31">
        <v>53281</v>
      </c>
      <c r="C541" s="6" t="s">
        <v>292</v>
      </c>
      <c r="D541" s="10" t="s">
        <v>289</v>
      </c>
    </row>
    <row r="542" spans="2:4" ht="15" x14ac:dyDescent="0.2">
      <c r="B542" s="31">
        <v>53321</v>
      </c>
      <c r="C542" s="6" t="s">
        <v>275</v>
      </c>
      <c r="D542" s="10" t="s">
        <v>290</v>
      </c>
    </row>
    <row r="543" spans="2:4" ht="15" x14ac:dyDescent="0.2">
      <c r="B543" s="31">
        <v>53328</v>
      </c>
      <c r="C543" s="6" t="s">
        <v>275</v>
      </c>
      <c r="D543" s="10" t="s">
        <v>276</v>
      </c>
    </row>
    <row r="544" spans="2:4" ht="15" x14ac:dyDescent="0.2">
      <c r="B544" s="31">
        <v>53363</v>
      </c>
      <c r="C544" s="6" t="s">
        <v>275</v>
      </c>
      <c r="D544" s="10" t="s">
        <v>277</v>
      </c>
    </row>
    <row r="545" spans="2:4" ht="15" x14ac:dyDescent="0.2">
      <c r="B545" s="31">
        <v>53364</v>
      </c>
      <c r="C545" s="6" t="s">
        <v>278</v>
      </c>
      <c r="D545" s="10" t="s">
        <v>277</v>
      </c>
    </row>
    <row r="546" spans="2:4" ht="15" x14ac:dyDescent="0.2">
      <c r="B546" s="31">
        <v>53409</v>
      </c>
      <c r="C546" s="6" t="s">
        <v>279</v>
      </c>
      <c r="D546" s="10" t="s">
        <v>280</v>
      </c>
    </row>
    <row r="547" spans="2:4" ht="15" x14ac:dyDescent="0.2">
      <c r="B547" s="31">
        <v>53438</v>
      </c>
      <c r="C547" s="6" t="s">
        <v>281</v>
      </c>
      <c r="D547" s="10" t="s">
        <v>282</v>
      </c>
    </row>
    <row r="548" spans="2:4" ht="15" x14ac:dyDescent="0.2">
      <c r="B548" s="31">
        <v>53448</v>
      </c>
      <c r="C548" s="6" t="s">
        <v>278</v>
      </c>
      <c r="D548" s="10" t="s">
        <v>283</v>
      </c>
    </row>
    <row r="549" spans="2:4" ht="15" x14ac:dyDescent="0.2">
      <c r="B549" s="31">
        <v>53471</v>
      </c>
      <c r="C549" s="6" t="s">
        <v>284</v>
      </c>
      <c r="D549" s="10" t="s">
        <v>285</v>
      </c>
    </row>
    <row r="550" spans="2:4" ht="15" x14ac:dyDescent="0.2">
      <c r="B550" s="31">
        <v>53577</v>
      </c>
      <c r="C550" s="6" t="s">
        <v>279</v>
      </c>
      <c r="D550" s="10" t="s">
        <v>286</v>
      </c>
    </row>
    <row r="551" spans="2:4" ht="15" x14ac:dyDescent="0.2">
      <c r="B551" s="31">
        <v>53612</v>
      </c>
      <c r="C551" s="6" t="s">
        <v>279</v>
      </c>
      <c r="D551" s="10" t="s">
        <v>287</v>
      </c>
    </row>
    <row r="552" spans="2:4" ht="15" x14ac:dyDescent="0.2">
      <c r="B552" s="31">
        <v>53633</v>
      </c>
      <c r="C552" s="6" t="s">
        <v>279</v>
      </c>
      <c r="D552" s="10" t="s">
        <v>288</v>
      </c>
    </row>
    <row r="553" spans="2:4" ht="15" x14ac:dyDescent="0.2">
      <c r="B553" s="31">
        <v>53646</v>
      </c>
      <c r="C553" s="6" t="s">
        <v>284</v>
      </c>
      <c r="D553" s="10" t="s">
        <v>289</v>
      </c>
    </row>
    <row r="554" spans="2:4" ht="15" x14ac:dyDescent="0.2">
      <c r="B554" s="31">
        <v>53686</v>
      </c>
      <c r="C554" s="6" t="s">
        <v>278</v>
      </c>
      <c r="D554" s="10" t="s">
        <v>290</v>
      </c>
    </row>
    <row r="555" spans="2:4" ht="15" x14ac:dyDescent="0.2">
      <c r="B555" s="31">
        <v>53693</v>
      </c>
      <c r="C555" s="6" t="s">
        <v>278</v>
      </c>
      <c r="D555" s="10" t="s">
        <v>276</v>
      </c>
    </row>
    <row r="556" spans="2:4" ht="15" x14ac:dyDescent="0.2">
      <c r="B556" s="31">
        <v>53748</v>
      </c>
      <c r="C556" s="6" t="s">
        <v>275</v>
      </c>
      <c r="D556" s="10" t="s">
        <v>277</v>
      </c>
    </row>
    <row r="557" spans="2:4" ht="15" x14ac:dyDescent="0.2">
      <c r="B557" s="31">
        <v>53749</v>
      </c>
      <c r="C557" s="6" t="s">
        <v>278</v>
      </c>
      <c r="D557" s="10" t="s">
        <v>277</v>
      </c>
    </row>
    <row r="558" spans="2:4" ht="15" x14ac:dyDescent="0.2">
      <c r="B558" s="31">
        <v>53794</v>
      </c>
      <c r="C558" s="6" t="s">
        <v>279</v>
      </c>
      <c r="D558" s="10" t="s">
        <v>280</v>
      </c>
    </row>
    <row r="559" spans="2:4" ht="15" x14ac:dyDescent="0.2">
      <c r="B559" s="31">
        <v>53803</v>
      </c>
      <c r="C559" s="6" t="s">
        <v>278</v>
      </c>
      <c r="D559" s="10" t="s">
        <v>282</v>
      </c>
    </row>
    <row r="560" spans="2:4" ht="15" x14ac:dyDescent="0.2">
      <c r="B560" s="31">
        <v>53813</v>
      </c>
      <c r="C560" s="6" t="s">
        <v>292</v>
      </c>
      <c r="D560" s="10" t="s">
        <v>283</v>
      </c>
    </row>
    <row r="561" spans="2:4" ht="15" x14ac:dyDescent="0.2">
      <c r="B561" s="31">
        <v>53856</v>
      </c>
      <c r="C561" s="6" t="s">
        <v>284</v>
      </c>
      <c r="D561" s="10" t="s">
        <v>285</v>
      </c>
    </row>
    <row r="562" spans="2:4" ht="15" x14ac:dyDescent="0.2">
      <c r="B562" s="31">
        <v>53942</v>
      </c>
      <c r="C562" s="6" t="s">
        <v>281</v>
      </c>
      <c r="D562" s="10" t="s">
        <v>286</v>
      </c>
    </row>
    <row r="563" spans="2:4" ht="15" x14ac:dyDescent="0.2">
      <c r="B563" s="31">
        <v>53977</v>
      </c>
      <c r="C563" s="6" t="s">
        <v>281</v>
      </c>
      <c r="D563" s="10" t="s">
        <v>287</v>
      </c>
    </row>
    <row r="564" spans="2:4" ht="15" x14ac:dyDescent="0.2">
      <c r="B564" s="31">
        <v>53998</v>
      </c>
      <c r="C564" s="6" t="s">
        <v>281</v>
      </c>
      <c r="D564" s="10" t="s">
        <v>288</v>
      </c>
    </row>
    <row r="565" spans="2:4" ht="15" x14ac:dyDescent="0.2">
      <c r="B565" s="31">
        <v>54011</v>
      </c>
      <c r="C565" s="6" t="s">
        <v>279</v>
      </c>
      <c r="D565" s="10" t="s">
        <v>289</v>
      </c>
    </row>
    <row r="566" spans="2:4" ht="15" x14ac:dyDescent="0.2">
      <c r="B566" s="31">
        <v>54051</v>
      </c>
      <c r="C566" s="6" t="s">
        <v>292</v>
      </c>
      <c r="D566" s="10" t="s">
        <v>290</v>
      </c>
    </row>
    <row r="567" spans="2:4" ht="15" x14ac:dyDescent="0.2">
      <c r="B567" s="31">
        <v>54058</v>
      </c>
      <c r="C567" s="6" t="s">
        <v>292</v>
      </c>
      <c r="D567" s="10" t="s">
        <v>276</v>
      </c>
    </row>
    <row r="568" spans="2:4" ht="15" x14ac:dyDescent="0.2">
      <c r="B568" s="31">
        <v>54105</v>
      </c>
      <c r="C568" s="6" t="s">
        <v>275</v>
      </c>
      <c r="D568" s="10" t="s">
        <v>277</v>
      </c>
    </row>
    <row r="569" spans="2:4" ht="15" x14ac:dyDescent="0.2">
      <c r="B569" s="31">
        <v>54106</v>
      </c>
      <c r="C569" s="6" t="s">
        <v>278</v>
      </c>
      <c r="D569" s="10" t="s">
        <v>277</v>
      </c>
    </row>
    <row r="570" spans="2:4" ht="15" x14ac:dyDescent="0.2">
      <c r="B570" s="31">
        <v>54151</v>
      </c>
      <c r="C570" s="6" t="s">
        <v>279</v>
      </c>
      <c r="D570" s="10" t="s">
        <v>280</v>
      </c>
    </row>
    <row r="571" spans="2:4" ht="15" x14ac:dyDescent="0.2">
      <c r="B571" s="31">
        <v>54169</v>
      </c>
      <c r="C571" s="6" t="s">
        <v>278</v>
      </c>
      <c r="D571" s="10" t="s">
        <v>282</v>
      </c>
    </row>
    <row r="572" spans="2:4" ht="15" x14ac:dyDescent="0.2">
      <c r="B572" s="31">
        <v>54179</v>
      </c>
      <c r="C572" s="6" t="s">
        <v>279</v>
      </c>
      <c r="D572" s="10" t="s">
        <v>283</v>
      </c>
    </row>
    <row r="573" spans="2:4" ht="15" x14ac:dyDescent="0.2">
      <c r="B573" s="31">
        <v>54213</v>
      </c>
      <c r="C573" s="6" t="s">
        <v>284</v>
      </c>
      <c r="D573" s="10" t="s">
        <v>285</v>
      </c>
    </row>
    <row r="574" spans="2:4" ht="15" x14ac:dyDescent="0.2">
      <c r="B574" s="31">
        <v>54308</v>
      </c>
      <c r="C574" s="6" t="s">
        <v>275</v>
      </c>
      <c r="D574" s="10" t="s">
        <v>286</v>
      </c>
    </row>
    <row r="575" spans="2:4" ht="15" x14ac:dyDescent="0.2">
      <c r="B575" s="31">
        <v>54343</v>
      </c>
      <c r="C575" s="6" t="s">
        <v>275</v>
      </c>
      <c r="D575" s="10" t="s">
        <v>287</v>
      </c>
    </row>
    <row r="576" spans="2:4" ht="15" x14ac:dyDescent="0.2">
      <c r="B576" s="31">
        <v>54364</v>
      </c>
      <c r="C576" s="6" t="s">
        <v>275</v>
      </c>
      <c r="D576" s="10" t="s">
        <v>288</v>
      </c>
    </row>
    <row r="577" spans="2:4" ht="15" x14ac:dyDescent="0.2">
      <c r="B577" s="31">
        <v>54377</v>
      </c>
      <c r="C577" s="6" t="s">
        <v>291</v>
      </c>
      <c r="D577" s="10" t="s">
        <v>289</v>
      </c>
    </row>
    <row r="578" spans="2:4" ht="15" x14ac:dyDescent="0.2">
      <c r="B578" s="31">
        <v>54417</v>
      </c>
      <c r="C578" s="6" t="s">
        <v>279</v>
      </c>
      <c r="D578" s="10" t="s">
        <v>290</v>
      </c>
    </row>
    <row r="579" spans="2:4" ht="15" x14ac:dyDescent="0.2">
      <c r="B579" s="31">
        <v>54424</v>
      </c>
      <c r="C579" s="6" t="s">
        <v>279</v>
      </c>
      <c r="D579" s="10" t="s">
        <v>276</v>
      </c>
    </row>
    <row r="580" spans="2:4" ht="15" x14ac:dyDescent="0.2">
      <c r="B580" s="31">
        <v>54483</v>
      </c>
      <c r="C580" s="6" t="s">
        <v>275</v>
      </c>
      <c r="D580" s="10" t="s">
        <v>277</v>
      </c>
    </row>
    <row r="581" spans="2:4" ht="15" x14ac:dyDescent="0.2">
      <c r="B581" s="31">
        <v>54484</v>
      </c>
      <c r="C581" s="6" t="s">
        <v>278</v>
      </c>
      <c r="D581" s="10" t="s">
        <v>277</v>
      </c>
    </row>
    <row r="582" spans="2:4" ht="15" x14ac:dyDescent="0.2">
      <c r="B582" s="31">
        <v>54529</v>
      </c>
      <c r="C582" s="6" t="s">
        <v>279</v>
      </c>
      <c r="D582" s="10" t="s">
        <v>280</v>
      </c>
    </row>
    <row r="583" spans="2:4" ht="15" x14ac:dyDescent="0.2">
      <c r="B583" s="31">
        <v>54534</v>
      </c>
      <c r="C583" s="6" t="s">
        <v>292</v>
      </c>
      <c r="D583" s="10" t="s">
        <v>282</v>
      </c>
    </row>
    <row r="584" spans="2:4" ht="15" x14ac:dyDescent="0.2">
      <c r="B584" s="31">
        <v>54544</v>
      </c>
      <c r="C584" s="6" t="s">
        <v>281</v>
      </c>
      <c r="D584" s="10" t="s">
        <v>283</v>
      </c>
    </row>
    <row r="585" spans="2:4" ht="15" x14ac:dyDescent="0.2">
      <c r="B585" s="31">
        <v>54591</v>
      </c>
      <c r="C585" s="6" t="s">
        <v>284</v>
      </c>
      <c r="D585" s="10" t="s">
        <v>285</v>
      </c>
    </row>
    <row r="586" spans="2:4" ht="15" x14ac:dyDescent="0.2">
      <c r="B586" s="31">
        <v>54673</v>
      </c>
      <c r="C586" s="6" t="s">
        <v>278</v>
      </c>
      <c r="D586" s="10" t="s">
        <v>286</v>
      </c>
    </row>
    <row r="587" spans="2:4" ht="15" x14ac:dyDescent="0.2">
      <c r="B587" s="31">
        <v>54708</v>
      </c>
      <c r="C587" s="6" t="s">
        <v>278</v>
      </c>
      <c r="D587" s="10" t="s">
        <v>287</v>
      </c>
    </row>
    <row r="588" spans="2:4" ht="15" x14ac:dyDescent="0.2">
      <c r="B588" s="31">
        <v>54729</v>
      </c>
      <c r="C588" s="6" t="s">
        <v>278</v>
      </c>
      <c r="D588" s="10" t="s">
        <v>288</v>
      </c>
    </row>
    <row r="589" spans="2:4" ht="15" x14ac:dyDescent="0.2">
      <c r="B589" s="31">
        <v>54742</v>
      </c>
      <c r="C589" s="6" t="s">
        <v>275</v>
      </c>
      <c r="D589" s="10" t="s">
        <v>289</v>
      </c>
    </row>
    <row r="590" spans="2:4" ht="15" x14ac:dyDescent="0.2">
      <c r="B590" s="31">
        <v>54782</v>
      </c>
      <c r="C590" s="6" t="s">
        <v>281</v>
      </c>
      <c r="D590" s="10" t="s">
        <v>290</v>
      </c>
    </row>
    <row r="591" spans="2:4" ht="15" x14ac:dyDescent="0.2">
      <c r="B591" s="31">
        <v>54789</v>
      </c>
      <c r="C591" s="6" t="s">
        <v>281</v>
      </c>
      <c r="D591" s="10" t="s">
        <v>276</v>
      </c>
    </row>
    <row r="592" spans="2:4" ht="15" x14ac:dyDescent="0.2">
      <c r="B592" s="31">
        <v>54840</v>
      </c>
      <c r="C592" s="6" t="s">
        <v>275</v>
      </c>
      <c r="D592" s="10" t="s">
        <v>277</v>
      </c>
    </row>
    <row r="593" spans="2:4" ht="15" x14ac:dyDescent="0.2">
      <c r="B593" s="31">
        <v>54841</v>
      </c>
      <c r="C593" s="6" t="s">
        <v>278</v>
      </c>
      <c r="D593" s="10" t="s">
        <v>277</v>
      </c>
    </row>
    <row r="594" spans="2:4" ht="15" x14ac:dyDescent="0.2">
      <c r="B594" s="31">
        <v>54886</v>
      </c>
      <c r="C594" s="6" t="s">
        <v>279</v>
      </c>
      <c r="D594" s="10" t="s">
        <v>280</v>
      </c>
    </row>
    <row r="595" spans="2:4" ht="15" x14ac:dyDescent="0.2">
      <c r="B595" s="31">
        <v>54899</v>
      </c>
      <c r="C595" s="6" t="s">
        <v>284</v>
      </c>
      <c r="D595" s="10" t="s">
        <v>282</v>
      </c>
    </row>
    <row r="596" spans="2:4" ht="15" x14ac:dyDescent="0.2">
      <c r="B596" s="31">
        <v>54909</v>
      </c>
      <c r="C596" s="6" t="s">
        <v>291</v>
      </c>
      <c r="D596" s="10" t="s">
        <v>283</v>
      </c>
    </row>
    <row r="597" spans="2:4" ht="15" x14ac:dyDescent="0.2">
      <c r="B597" s="31">
        <v>54948</v>
      </c>
      <c r="C597" s="6" t="s">
        <v>284</v>
      </c>
      <c r="D597" s="10" t="s">
        <v>285</v>
      </c>
    </row>
    <row r="598" spans="2:4" ht="15" x14ac:dyDescent="0.2">
      <c r="B598" s="31">
        <v>55038</v>
      </c>
      <c r="C598" s="6" t="s">
        <v>292</v>
      </c>
      <c r="D598" s="10" t="s">
        <v>286</v>
      </c>
    </row>
    <row r="599" spans="2:4" ht="15" x14ac:dyDescent="0.2">
      <c r="B599" s="31">
        <v>55073</v>
      </c>
      <c r="C599" s="6" t="s">
        <v>292</v>
      </c>
      <c r="D599" s="10" t="s">
        <v>287</v>
      </c>
    </row>
    <row r="600" spans="2:4" ht="15" x14ac:dyDescent="0.2">
      <c r="B600" s="31">
        <v>55094</v>
      </c>
      <c r="C600" s="6" t="s">
        <v>292</v>
      </c>
      <c r="D600" s="10" t="s">
        <v>288</v>
      </c>
    </row>
    <row r="601" spans="2:4" ht="15" x14ac:dyDescent="0.2">
      <c r="B601" s="31">
        <v>55107</v>
      </c>
      <c r="C601" s="6" t="s">
        <v>278</v>
      </c>
      <c r="D601" s="10" t="s">
        <v>289</v>
      </c>
    </row>
    <row r="602" spans="2:4" ht="15" x14ac:dyDescent="0.2">
      <c r="B602" s="31">
        <v>55147</v>
      </c>
      <c r="C602" s="6" t="s">
        <v>291</v>
      </c>
      <c r="D602" s="10" t="s">
        <v>290</v>
      </c>
    </row>
    <row r="603" spans="2:4" ht="15" x14ac:dyDescent="0.2">
      <c r="B603" s="31">
        <v>55154</v>
      </c>
      <c r="C603" s="6" t="s">
        <v>291</v>
      </c>
      <c r="D603" s="10" t="s">
        <v>276</v>
      </c>
    </row>
    <row r="604" spans="2:4" ht="15" x14ac:dyDescent="0.2">
      <c r="B604" s="31">
        <v>55197</v>
      </c>
      <c r="C604" s="6" t="s">
        <v>275</v>
      </c>
      <c r="D604" s="10" t="s">
        <v>277</v>
      </c>
    </row>
    <row r="605" spans="2:4" ht="15" x14ac:dyDescent="0.2">
      <c r="B605" s="31">
        <v>55198</v>
      </c>
      <c r="C605" s="6" t="s">
        <v>278</v>
      </c>
      <c r="D605" s="10" t="s">
        <v>277</v>
      </c>
    </row>
    <row r="606" spans="2:4" ht="15" x14ac:dyDescent="0.2">
      <c r="B606" s="31">
        <v>55243</v>
      </c>
      <c r="C606" s="6" t="s">
        <v>279</v>
      </c>
      <c r="D606" s="10" t="s">
        <v>280</v>
      </c>
    </row>
    <row r="607" spans="2:4" ht="15" x14ac:dyDescent="0.2">
      <c r="B607" s="31">
        <v>55264</v>
      </c>
      <c r="C607" s="6" t="s">
        <v>279</v>
      </c>
      <c r="D607" s="10" t="s">
        <v>282</v>
      </c>
    </row>
    <row r="608" spans="2:4" ht="15" x14ac:dyDescent="0.2">
      <c r="B608" s="31">
        <v>55274</v>
      </c>
      <c r="C608" s="6" t="s">
        <v>275</v>
      </c>
      <c r="D608" s="10" t="s">
        <v>283</v>
      </c>
    </row>
    <row r="609" spans="2:4" ht="15" x14ac:dyDescent="0.2">
      <c r="B609" s="31">
        <v>55305</v>
      </c>
      <c r="C609" s="6" t="s">
        <v>284</v>
      </c>
      <c r="D609" s="10" t="s">
        <v>285</v>
      </c>
    </row>
    <row r="610" spans="2:4" ht="15" x14ac:dyDescent="0.2">
      <c r="B610" s="31">
        <v>55403</v>
      </c>
      <c r="C610" s="6" t="s">
        <v>284</v>
      </c>
      <c r="D610" s="10" t="s">
        <v>286</v>
      </c>
    </row>
    <row r="611" spans="2:4" ht="15" x14ac:dyDescent="0.2">
      <c r="B611" s="31">
        <v>55438</v>
      </c>
      <c r="C611" s="6" t="s">
        <v>284</v>
      </c>
      <c r="D611" s="10" t="s">
        <v>287</v>
      </c>
    </row>
    <row r="612" spans="2:4" ht="15" x14ac:dyDescent="0.2">
      <c r="B612" s="31">
        <v>55459</v>
      </c>
      <c r="C612" s="6" t="s">
        <v>284</v>
      </c>
      <c r="D612" s="10" t="s">
        <v>288</v>
      </c>
    </row>
    <row r="613" spans="2:4" ht="15" x14ac:dyDescent="0.2">
      <c r="B613" s="31">
        <v>55472</v>
      </c>
      <c r="C613" s="6" t="s">
        <v>292</v>
      </c>
      <c r="D613" s="10" t="s">
        <v>289</v>
      </c>
    </row>
    <row r="614" spans="2:4" ht="15" x14ac:dyDescent="0.2">
      <c r="B614" s="31">
        <v>55512</v>
      </c>
      <c r="C614" s="6" t="s">
        <v>275</v>
      </c>
      <c r="D614" s="10" t="s">
        <v>290</v>
      </c>
    </row>
    <row r="615" spans="2:4" ht="15" x14ac:dyDescent="0.2">
      <c r="B615" s="31">
        <v>55519</v>
      </c>
      <c r="C615" s="6" t="s">
        <v>275</v>
      </c>
      <c r="D615" s="10" t="s">
        <v>276</v>
      </c>
    </row>
    <row r="616" spans="2:4" ht="15" x14ac:dyDescent="0.2">
      <c r="B616" s="31">
        <v>55582</v>
      </c>
      <c r="C616" s="6" t="s">
        <v>275</v>
      </c>
      <c r="D616" s="10" t="s">
        <v>277</v>
      </c>
    </row>
    <row r="617" spans="2:4" ht="15" x14ac:dyDescent="0.2">
      <c r="B617" s="31">
        <v>55583</v>
      </c>
      <c r="C617" s="6" t="s">
        <v>278</v>
      </c>
      <c r="D617" s="10" t="s">
        <v>277</v>
      </c>
    </row>
    <row r="618" spans="2:4" ht="15" x14ac:dyDescent="0.2">
      <c r="B618" s="31">
        <v>55628</v>
      </c>
      <c r="C618" s="6" t="s">
        <v>279</v>
      </c>
      <c r="D618" s="10" t="s">
        <v>280</v>
      </c>
    </row>
    <row r="619" spans="2:4" ht="15" x14ac:dyDescent="0.2">
      <c r="B619" s="31">
        <v>55630</v>
      </c>
      <c r="C619" s="6" t="s">
        <v>291</v>
      </c>
      <c r="D619" s="10" t="s">
        <v>282</v>
      </c>
    </row>
    <row r="620" spans="2:4" ht="15" x14ac:dyDescent="0.2">
      <c r="B620" s="31">
        <v>55640</v>
      </c>
      <c r="C620" s="6" t="s">
        <v>292</v>
      </c>
      <c r="D620" s="10" t="s">
        <v>283</v>
      </c>
    </row>
    <row r="621" spans="2:4" ht="15" x14ac:dyDescent="0.2">
      <c r="B621" s="31">
        <v>55690</v>
      </c>
      <c r="C621" s="6" t="s">
        <v>284</v>
      </c>
      <c r="D621" s="10" t="s">
        <v>285</v>
      </c>
    </row>
    <row r="622" spans="2:4" ht="15" x14ac:dyDescent="0.2">
      <c r="B622" s="31">
        <v>55769</v>
      </c>
      <c r="C622" s="6" t="s">
        <v>281</v>
      </c>
      <c r="D622" s="10" t="s">
        <v>286</v>
      </c>
    </row>
    <row r="623" spans="2:4" ht="15" x14ac:dyDescent="0.2">
      <c r="B623" s="31">
        <v>55804</v>
      </c>
      <c r="C623" s="6" t="s">
        <v>281</v>
      </c>
      <c r="D623" s="10" t="s">
        <v>287</v>
      </c>
    </row>
    <row r="624" spans="2:4" ht="15" x14ac:dyDescent="0.2">
      <c r="B624" s="31">
        <v>55825</v>
      </c>
      <c r="C624" s="6" t="s">
        <v>281</v>
      </c>
      <c r="D624" s="10" t="s">
        <v>288</v>
      </c>
    </row>
    <row r="625" spans="2:4" ht="15" x14ac:dyDescent="0.2">
      <c r="B625" s="31">
        <v>55838</v>
      </c>
      <c r="C625" s="6" t="s">
        <v>279</v>
      </c>
      <c r="D625" s="10" t="s">
        <v>289</v>
      </c>
    </row>
    <row r="626" spans="2:4" ht="15" x14ac:dyDescent="0.2">
      <c r="B626" s="31">
        <v>55878</v>
      </c>
      <c r="C626" s="6" t="s">
        <v>292</v>
      </c>
      <c r="D626" s="10" t="s">
        <v>290</v>
      </c>
    </row>
    <row r="627" spans="2:4" ht="15" x14ac:dyDescent="0.2">
      <c r="B627" s="31">
        <v>55885</v>
      </c>
      <c r="C627" s="6" t="s">
        <v>292</v>
      </c>
      <c r="D627" s="10" t="s">
        <v>276</v>
      </c>
    </row>
    <row r="628" spans="2:4" ht="15" x14ac:dyDescent="0.2">
      <c r="B628" s="31">
        <v>55932</v>
      </c>
      <c r="C628" s="6" t="s">
        <v>275</v>
      </c>
      <c r="D628" s="10" t="s">
        <v>277</v>
      </c>
    </row>
    <row r="629" spans="2:4" ht="15" x14ac:dyDescent="0.2">
      <c r="B629" s="31">
        <v>55933</v>
      </c>
      <c r="C629" s="6" t="s">
        <v>278</v>
      </c>
      <c r="D629" s="10" t="s">
        <v>277</v>
      </c>
    </row>
    <row r="630" spans="2:4" ht="15" x14ac:dyDescent="0.2">
      <c r="B630" s="31">
        <v>55978</v>
      </c>
      <c r="C630" s="6" t="s">
        <v>279</v>
      </c>
      <c r="D630" s="10" t="s">
        <v>280</v>
      </c>
    </row>
    <row r="631" spans="2:4" ht="15" x14ac:dyDescent="0.2">
      <c r="B631" s="31">
        <v>55995</v>
      </c>
      <c r="C631" s="6" t="s">
        <v>275</v>
      </c>
      <c r="D631" s="10" t="s">
        <v>282</v>
      </c>
    </row>
    <row r="632" spans="2:4" ht="15" x14ac:dyDescent="0.2">
      <c r="B632" s="31">
        <v>56005</v>
      </c>
      <c r="C632" s="6" t="s">
        <v>284</v>
      </c>
      <c r="D632" s="10" t="s">
        <v>283</v>
      </c>
    </row>
    <row r="633" spans="2:4" ht="15" x14ac:dyDescent="0.2">
      <c r="B633" s="31">
        <v>56040</v>
      </c>
      <c r="C633" s="6" t="s">
        <v>284</v>
      </c>
      <c r="D633" s="10" t="s">
        <v>285</v>
      </c>
    </row>
    <row r="634" spans="2:4" ht="15" x14ac:dyDescent="0.2">
      <c r="B634" s="31">
        <v>56134</v>
      </c>
      <c r="C634" s="6" t="s">
        <v>291</v>
      </c>
      <c r="D634" s="10" t="s">
        <v>286</v>
      </c>
    </row>
    <row r="635" spans="2:4" ht="15" x14ac:dyDescent="0.2">
      <c r="B635" s="31">
        <v>56169</v>
      </c>
      <c r="C635" s="6" t="s">
        <v>291</v>
      </c>
      <c r="D635" s="10" t="s">
        <v>287</v>
      </c>
    </row>
    <row r="636" spans="2:4" ht="15" x14ac:dyDescent="0.2">
      <c r="B636" s="31">
        <v>56190</v>
      </c>
      <c r="C636" s="6" t="s">
        <v>291</v>
      </c>
      <c r="D636" s="10" t="s">
        <v>288</v>
      </c>
    </row>
    <row r="637" spans="2:4" ht="15" x14ac:dyDescent="0.2">
      <c r="B637" s="31">
        <v>56203</v>
      </c>
      <c r="C637" s="6" t="s">
        <v>281</v>
      </c>
      <c r="D637" s="10" t="s">
        <v>289</v>
      </c>
    </row>
    <row r="638" spans="2:4" ht="15" x14ac:dyDescent="0.2">
      <c r="B638" s="31">
        <v>56243</v>
      </c>
      <c r="C638" s="6" t="s">
        <v>284</v>
      </c>
      <c r="D638" s="10" t="s">
        <v>290</v>
      </c>
    </row>
    <row r="639" spans="2:4" ht="15" x14ac:dyDescent="0.2">
      <c r="B639" s="31">
        <v>56250</v>
      </c>
      <c r="C639" s="6" t="s">
        <v>284</v>
      </c>
      <c r="D639" s="10" t="s">
        <v>276</v>
      </c>
    </row>
    <row r="640" spans="2:4" ht="15" x14ac:dyDescent="0.2">
      <c r="B640" s="31">
        <v>56289</v>
      </c>
      <c r="C640" s="6" t="s">
        <v>275</v>
      </c>
      <c r="D640" s="10" t="s">
        <v>277</v>
      </c>
    </row>
    <row r="641" spans="2:4" ht="15" x14ac:dyDescent="0.2">
      <c r="B641" s="31">
        <v>56290</v>
      </c>
      <c r="C641" s="6" t="s">
        <v>278</v>
      </c>
      <c r="D641" s="10" t="s">
        <v>277</v>
      </c>
    </row>
    <row r="642" spans="2:4" ht="15" x14ac:dyDescent="0.2">
      <c r="B642" s="31">
        <v>56335</v>
      </c>
      <c r="C642" s="6" t="s">
        <v>279</v>
      </c>
      <c r="D642" s="10" t="s">
        <v>280</v>
      </c>
    </row>
    <row r="643" spans="2:4" ht="15" x14ac:dyDescent="0.2">
      <c r="B643" s="31">
        <v>56360</v>
      </c>
      <c r="C643" s="6" t="s">
        <v>278</v>
      </c>
      <c r="D643" s="10" t="s">
        <v>282</v>
      </c>
    </row>
    <row r="644" spans="2:4" ht="15" x14ac:dyDescent="0.2">
      <c r="B644" s="31">
        <v>56370</v>
      </c>
      <c r="C644" s="6" t="s">
        <v>279</v>
      </c>
      <c r="D644" s="10" t="s">
        <v>283</v>
      </c>
    </row>
    <row r="645" spans="2:4" ht="15" x14ac:dyDescent="0.2">
      <c r="B645" s="31">
        <v>56397</v>
      </c>
      <c r="C645" s="6" t="s">
        <v>284</v>
      </c>
      <c r="D645" s="10" t="s">
        <v>285</v>
      </c>
    </row>
    <row r="646" spans="2:4" ht="15" x14ac:dyDescent="0.2">
      <c r="B646" s="31">
        <v>56499</v>
      </c>
      <c r="C646" s="6" t="s">
        <v>275</v>
      </c>
      <c r="D646" s="10" t="s">
        <v>286</v>
      </c>
    </row>
    <row r="647" spans="2:4" ht="15" x14ac:dyDescent="0.2">
      <c r="B647" s="31">
        <v>56534</v>
      </c>
      <c r="C647" s="6" t="s">
        <v>275</v>
      </c>
      <c r="D647" s="10" t="s">
        <v>287</v>
      </c>
    </row>
    <row r="648" spans="2:4" ht="15" x14ac:dyDescent="0.2">
      <c r="B648" s="31">
        <v>56555</v>
      </c>
      <c r="C648" s="6" t="s">
        <v>275</v>
      </c>
      <c r="D648" s="10" t="s">
        <v>288</v>
      </c>
    </row>
    <row r="649" spans="2:4" ht="15" x14ac:dyDescent="0.2">
      <c r="B649" s="31">
        <v>56568</v>
      </c>
      <c r="C649" s="6" t="s">
        <v>291</v>
      </c>
      <c r="D649" s="10" t="s">
        <v>289</v>
      </c>
    </row>
    <row r="650" spans="2:4" ht="15" x14ac:dyDescent="0.2">
      <c r="B650" s="31">
        <v>56608</v>
      </c>
      <c r="C650" s="6" t="s">
        <v>279</v>
      </c>
      <c r="D650" s="10" t="s">
        <v>290</v>
      </c>
    </row>
    <row r="651" spans="2:4" ht="15" x14ac:dyDescent="0.2">
      <c r="B651" s="31">
        <v>56615</v>
      </c>
      <c r="C651" s="6" t="s">
        <v>279</v>
      </c>
      <c r="D651" s="10" t="s">
        <v>276</v>
      </c>
    </row>
    <row r="652" spans="2:4" ht="15" x14ac:dyDescent="0.2">
      <c r="B652" s="31">
        <v>56674</v>
      </c>
      <c r="C652" s="6" t="s">
        <v>275</v>
      </c>
      <c r="D652" s="10" t="s">
        <v>277</v>
      </c>
    </row>
    <row r="653" spans="2:4" ht="15" x14ac:dyDescent="0.2">
      <c r="B653" s="31">
        <v>56675</v>
      </c>
      <c r="C653" s="6" t="s">
        <v>278</v>
      </c>
      <c r="D653" s="10" t="s">
        <v>277</v>
      </c>
    </row>
    <row r="654" spans="2:4" ht="15" x14ac:dyDescent="0.2">
      <c r="B654" s="31">
        <v>56720</v>
      </c>
      <c r="C654" s="6" t="s">
        <v>279</v>
      </c>
      <c r="D654" s="10" t="s">
        <v>280</v>
      </c>
    </row>
    <row r="655" spans="2:4" ht="15" x14ac:dyDescent="0.2">
      <c r="B655" s="31">
        <v>56725</v>
      </c>
      <c r="C655" s="6" t="s">
        <v>292</v>
      </c>
      <c r="D655" s="10" t="s">
        <v>282</v>
      </c>
    </row>
    <row r="656" spans="2:4" ht="15" x14ac:dyDescent="0.2">
      <c r="B656" s="31">
        <v>56735</v>
      </c>
      <c r="C656" s="6" t="s">
        <v>281</v>
      </c>
      <c r="D656" s="10" t="s">
        <v>283</v>
      </c>
    </row>
    <row r="657" spans="2:4" ht="15" x14ac:dyDescent="0.2">
      <c r="B657" s="31">
        <v>56782</v>
      </c>
      <c r="C657" s="6" t="s">
        <v>284</v>
      </c>
      <c r="D657" s="10" t="s">
        <v>285</v>
      </c>
    </row>
    <row r="658" spans="2:4" ht="15" x14ac:dyDescent="0.2">
      <c r="B658" s="31">
        <v>56864</v>
      </c>
      <c r="C658" s="6" t="s">
        <v>278</v>
      </c>
      <c r="D658" s="10" t="s">
        <v>286</v>
      </c>
    </row>
    <row r="659" spans="2:4" ht="15" x14ac:dyDescent="0.2">
      <c r="B659" s="31">
        <v>56899</v>
      </c>
      <c r="C659" s="6" t="s">
        <v>278</v>
      </c>
      <c r="D659" s="10" t="s">
        <v>287</v>
      </c>
    </row>
    <row r="660" spans="2:4" ht="15" x14ac:dyDescent="0.2">
      <c r="B660" s="31">
        <v>56920</v>
      </c>
      <c r="C660" s="6" t="s">
        <v>278</v>
      </c>
      <c r="D660" s="10" t="s">
        <v>288</v>
      </c>
    </row>
    <row r="661" spans="2:4" ht="15" x14ac:dyDescent="0.2">
      <c r="B661" s="31">
        <v>56933</v>
      </c>
      <c r="C661" s="6" t="s">
        <v>275</v>
      </c>
      <c r="D661" s="10" t="s">
        <v>289</v>
      </c>
    </row>
    <row r="662" spans="2:4" ht="15" x14ac:dyDescent="0.2">
      <c r="B662" s="31">
        <v>56973</v>
      </c>
      <c r="C662" s="6" t="s">
        <v>281</v>
      </c>
      <c r="D662" s="10" t="s">
        <v>290</v>
      </c>
    </row>
    <row r="663" spans="2:4" ht="15" x14ac:dyDescent="0.2">
      <c r="B663" s="31">
        <v>56980</v>
      </c>
      <c r="C663" s="6" t="s">
        <v>281</v>
      </c>
      <c r="D663" s="10" t="s">
        <v>276</v>
      </c>
    </row>
    <row r="664" spans="2:4" ht="15" x14ac:dyDescent="0.2">
      <c r="B664" s="31">
        <v>57024</v>
      </c>
      <c r="C664" s="6" t="s">
        <v>275</v>
      </c>
      <c r="D664" s="10" t="s">
        <v>277</v>
      </c>
    </row>
    <row r="665" spans="2:4" ht="15" x14ac:dyDescent="0.2">
      <c r="B665" s="31">
        <v>57025</v>
      </c>
      <c r="C665" s="6" t="s">
        <v>278</v>
      </c>
      <c r="D665" s="10" t="s">
        <v>277</v>
      </c>
    </row>
    <row r="666" spans="2:4" ht="15" x14ac:dyDescent="0.2">
      <c r="B666" s="31">
        <v>57070</v>
      </c>
      <c r="C666" s="6" t="s">
        <v>279</v>
      </c>
      <c r="D666" s="10" t="s">
        <v>280</v>
      </c>
    </row>
    <row r="667" spans="2:4" ht="15" x14ac:dyDescent="0.2">
      <c r="B667" s="31">
        <v>57091</v>
      </c>
      <c r="C667" s="6" t="s">
        <v>279</v>
      </c>
      <c r="D667" s="10" t="s">
        <v>282</v>
      </c>
    </row>
    <row r="668" spans="2:4" ht="15" x14ac:dyDescent="0.2">
      <c r="B668" s="31">
        <v>57101</v>
      </c>
      <c r="C668" s="6" t="s">
        <v>275</v>
      </c>
      <c r="D668" s="10" t="s">
        <v>283</v>
      </c>
    </row>
    <row r="669" spans="2:4" ht="15" x14ac:dyDescent="0.2">
      <c r="B669" s="31">
        <v>57132</v>
      </c>
      <c r="C669" s="6" t="s">
        <v>284</v>
      </c>
      <c r="D669" s="10" t="s">
        <v>285</v>
      </c>
    </row>
    <row r="670" spans="2:4" ht="15" x14ac:dyDescent="0.2">
      <c r="B670" s="31">
        <v>57230</v>
      </c>
      <c r="C670" s="6" t="s">
        <v>284</v>
      </c>
      <c r="D670" s="10" t="s">
        <v>286</v>
      </c>
    </row>
    <row r="671" spans="2:4" ht="15" x14ac:dyDescent="0.2">
      <c r="B671" s="31">
        <v>57265</v>
      </c>
      <c r="C671" s="6" t="s">
        <v>284</v>
      </c>
      <c r="D671" s="10" t="s">
        <v>287</v>
      </c>
    </row>
    <row r="672" spans="2:4" ht="15" x14ac:dyDescent="0.2">
      <c r="B672" s="31">
        <v>57286</v>
      </c>
      <c r="C672" s="6" t="s">
        <v>284</v>
      </c>
      <c r="D672" s="10" t="s">
        <v>288</v>
      </c>
    </row>
    <row r="673" spans="2:4" ht="15" x14ac:dyDescent="0.2">
      <c r="B673" s="31">
        <v>57299</v>
      </c>
      <c r="C673" s="6" t="s">
        <v>292</v>
      </c>
      <c r="D673" s="10" t="s">
        <v>289</v>
      </c>
    </row>
    <row r="674" spans="2:4" ht="15" x14ac:dyDescent="0.2">
      <c r="B674" s="31">
        <v>57339</v>
      </c>
      <c r="C674" s="6" t="s">
        <v>275</v>
      </c>
      <c r="D674" s="10" t="s">
        <v>290</v>
      </c>
    </row>
    <row r="675" spans="2:4" ht="15" x14ac:dyDescent="0.2">
      <c r="B675" s="31">
        <v>57346</v>
      </c>
      <c r="C675" s="6" t="s">
        <v>275</v>
      </c>
      <c r="D675" s="10" t="s">
        <v>276</v>
      </c>
    </row>
    <row r="676" spans="2:4" ht="15" x14ac:dyDescent="0.2">
      <c r="B676" s="31">
        <v>57409</v>
      </c>
      <c r="C676" s="6" t="s">
        <v>275</v>
      </c>
      <c r="D676" s="10" t="s">
        <v>277</v>
      </c>
    </row>
    <row r="677" spans="2:4" ht="15" x14ac:dyDescent="0.2">
      <c r="B677" s="31">
        <v>57410</v>
      </c>
      <c r="C677" s="6" t="s">
        <v>278</v>
      </c>
      <c r="D677" s="10" t="s">
        <v>277</v>
      </c>
    </row>
    <row r="678" spans="2:4" ht="15" x14ac:dyDescent="0.2">
      <c r="B678" s="31">
        <v>57455</v>
      </c>
      <c r="C678" s="6" t="s">
        <v>279</v>
      </c>
      <c r="D678" s="10" t="s">
        <v>280</v>
      </c>
    </row>
    <row r="679" spans="2:4" ht="15" x14ac:dyDescent="0.2">
      <c r="B679" s="31">
        <v>57456</v>
      </c>
      <c r="C679" s="6" t="s">
        <v>281</v>
      </c>
      <c r="D679" s="10" t="s">
        <v>282</v>
      </c>
    </row>
    <row r="680" spans="2:4" ht="15" x14ac:dyDescent="0.2">
      <c r="B680" s="31">
        <v>57466</v>
      </c>
      <c r="C680" s="6" t="s">
        <v>278</v>
      </c>
      <c r="D680" s="10" t="s">
        <v>283</v>
      </c>
    </row>
    <row r="681" spans="2:4" ht="15" x14ac:dyDescent="0.2">
      <c r="B681" s="31">
        <v>57517</v>
      </c>
      <c r="C681" s="6" t="s">
        <v>284</v>
      </c>
      <c r="D681" s="10" t="s">
        <v>285</v>
      </c>
    </row>
    <row r="682" spans="2:4" ht="15" x14ac:dyDescent="0.2">
      <c r="B682" s="31">
        <v>57595</v>
      </c>
      <c r="C682" s="6" t="s">
        <v>279</v>
      </c>
      <c r="D682" s="10" t="s">
        <v>286</v>
      </c>
    </row>
    <row r="683" spans="2:4" ht="15" x14ac:dyDescent="0.2">
      <c r="B683" s="31">
        <v>57630</v>
      </c>
      <c r="C683" s="6" t="s">
        <v>279</v>
      </c>
      <c r="D683" s="10" t="s">
        <v>287</v>
      </c>
    </row>
    <row r="684" spans="2:4" ht="15" x14ac:dyDescent="0.2">
      <c r="B684" s="31">
        <v>57651</v>
      </c>
      <c r="C684" s="6" t="s">
        <v>279</v>
      </c>
      <c r="D684" s="10" t="s">
        <v>288</v>
      </c>
    </row>
    <row r="685" spans="2:4" ht="15" x14ac:dyDescent="0.2">
      <c r="B685" s="31">
        <v>57664</v>
      </c>
      <c r="C685" s="6" t="s">
        <v>284</v>
      </c>
      <c r="D685" s="10" t="s">
        <v>289</v>
      </c>
    </row>
    <row r="686" spans="2:4" ht="15" x14ac:dyDescent="0.2">
      <c r="B686" s="31">
        <v>57704</v>
      </c>
      <c r="C686" s="6" t="s">
        <v>278</v>
      </c>
      <c r="D686" s="10" t="s">
        <v>290</v>
      </c>
    </row>
    <row r="687" spans="2:4" ht="15" x14ac:dyDescent="0.2">
      <c r="B687" s="31">
        <v>57711</v>
      </c>
      <c r="C687" s="6" t="s">
        <v>278</v>
      </c>
      <c r="D687" s="10" t="s">
        <v>276</v>
      </c>
    </row>
    <row r="688" spans="2:4" ht="15" x14ac:dyDescent="0.2">
      <c r="B688" s="31">
        <v>57766</v>
      </c>
      <c r="C688" s="6" t="s">
        <v>275</v>
      </c>
      <c r="D688" s="10" t="s">
        <v>277</v>
      </c>
    </row>
    <row r="689" spans="2:4" ht="15" x14ac:dyDescent="0.2">
      <c r="B689" s="31">
        <v>57767</v>
      </c>
      <c r="C689" s="6" t="s">
        <v>278</v>
      </c>
      <c r="D689" s="10" t="s">
        <v>277</v>
      </c>
    </row>
    <row r="690" spans="2:4" ht="15" x14ac:dyDescent="0.2">
      <c r="B690" s="31">
        <v>57812</v>
      </c>
      <c r="C690" s="6" t="s">
        <v>279</v>
      </c>
      <c r="D690" s="10" t="s">
        <v>280</v>
      </c>
    </row>
    <row r="691" spans="2:4" ht="15" x14ac:dyDescent="0.2">
      <c r="B691" s="31">
        <v>57821</v>
      </c>
      <c r="C691" s="6" t="s">
        <v>291</v>
      </c>
      <c r="D691" s="10" t="s">
        <v>282</v>
      </c>
    </row>
    <row r="692" spans="2:4" ht="15" x14ac:dyDescent="0.2">
      <c r="B692" s="31">
        <v>57831</v>
      </c>
      <c r="C692" s="6" t="s">
        <v>292</v>
      </c>
      <c r="D692" s="10" t="s">
        <v>283</v>
      </c>
    </row>
    <row r="693" spans="2:4" ht="15" x14ac:dyDescent="0.2">
      <c r="B693" s="31">
        <v>57874</v>
      </c>
      <c r="C693" s="6" t="s">
        <v>284</v>
      </c>
      <c r="D693" s="10" t="s">
        <v>285</v>
      </c>
    </row>
    <row r="694" spans="2:4" ht="15" x14ac:dyDescent="0.2">
      <c r="B694" s="31">
        <v>57960</v>
      </c>
      <c r="C694" s="6" t="s">
        <v>281</v>
      </c>
      <c r="D694" s="10" t="s">
        <v>286</v>
      </c>
    </row>
    <row r="695" spans="2:4" ht="15" x14ac:dyDescent="0.2">
      <c r="B695" s="31">
        <v>57995</v>
      </c>
      <c r="C695" s="6" t="s">
        <v>281</v>
      </c>
      <c r="D695" s="10" t="s">
        <v>287</v>
      </c>
    </row>
    <row r="696" spans="2:4" ht="15" x14ac:dyDescent="0.2">
      <c r="B696" s="31">
        <v>58016</v>
      </c>
      <c r="C696" s="6" t="s">
        <v>281</v>
      </c>
      <c r="D696" s="10" t="s">
        <v>288</v>
      </c>
    </row>
    <row r="697" spans="2:4" ht="15" x14ac:dyDescent="0.2">
      <c r="B697" s="31">
        <v>58029</v>
      </c>
      <c r="C697" s="6" t="s">
        <v>279</v>
      </c>
      <c r="D697" s="10" t="s">
        <v>289</v>
      </c>
    </row>
    <row r="698" spans="2:4" ht="15" x14ac:dyDescent="0.2">
      <c r="B698" s="31">
        <v>58069</v>
      </c>
      <c r="C698" s="6" t="s">
        <v>292</v>
      </c>
      <c r="D698" s="10" t="s">
        <v>290</v>
      </c>
    </row>
    <row r="699" spans="2:4" ht="15" x14ac:dyDescent="0.2">
      <c r="B699" s="31">
        <v>58076</v>
      </c>
      <c r="C699" s="6" t="s">
        <v>292</v>
      </c>
      <c r="D699" s="10" t="s">
        <v>276</v>
      </c>
    </row>
    <row r="700" spans="2:4" ht="15" x14ac:dyDescent="0.2">
      <c r="B700" s="31">
        <v>58116</v>
      </c>
      <c r="C700" s="6" t="s">
        <v>275</v>
      </c>
      <c r="D700" s="10" t="s">
        <v>277</v>
      </c>
    </row>
    <row r="701" spans="2:4" ht="15" x14ac:dyDescent="0.2">
      <c r="B701" s="31">
        <v>58117</v>
      </c>
      <c r="C701" s="6" t="s">
        <v>278</v>
      </c>
      <c r="D701" s="10" t="s">
        <v>277</v>
      </c>
    </row>
    <row r="702" spans="2:4" ht="15" x14ac:dyDescent="0.2">
      <c r="B702" s="31">
        <v>58162</v>
      </c>
      <c r="C702" s="6" t="s">
        <v>279</v>
      </c>
      <c r="D702" s="10" t="s">
        <v>280</v>
      </c>
    </row>
    <row r="703" spans="2:4" ht="15" x14ac:dyDescent="0.2">
      <c r="B703" s="31">
        <v>58186</v>
      </c>
      <c r="C703" s="6" t="s">
        <v>275</v>
      </c>
      <c r="D703" s="10" t="s">
        <v>282</v>
      </c>
    </row>
    <row r="704" spans="2:4" ht="15" x14ac:dyDescent="0.2">
      <c r="B704" s="31">
        <v>58196</v>
      </c>
      <c r="C704" s="6" t="s">
        <v>284</v>
      </c>
      <c r="D704" s="10" t="s">
        <v>283</v>
      </c>
    </row>
    <row r="705" spans="2:4" ht="15" x14ac:dyDescent="0.2">
      <c r="B705" s="31">
        <v>58224</v>
      </c>
      <c r="C705" s="6" t="s">
        <v>284</v>
      </c>
      <c r="D705" s="10" t="s">
        <v>285</v>
      </c>
    </row>
    <row r="706" spans="2:4" ht="15" x14ac:dyDescent="0.2">
      <c r="B706" s="31">
        <v>58325</v>
      </c>
      <c r="C706" s="6" t="s">
        <v>291</v>
      </c>
      <c r="D706" s="10" t="s">
        <v>286</v>
      </c>
    </row>
    <row r="707" spans="2:4" ht="15" x14ac:dyDescent="0.2">
      <c r="B707" s="31">
        <v>58360</v>
      </c>
      <c r="C707" s="6" t="s">
        <v>291</v>
      </c>
      <c r="D707" s="10" t="s">
        <v>287</v>
      </c>
    </row>
    <row r="708" spans="2:4" ht="15" x14ac:dyDescent="0.2">
      <c r="B708" s="31">
        <v>58381</v>
      </c>
      <c r="C708" s="6" t="s">
        <v>291</v>
      </c>
      <c r="D708" s="10" t="s">
        <v>288</v>
      </c>
    </row>
    <row r="709" spans="2:4" ht="15" x14ac:dyDescent="0.2">
      <c r="B709" s="31">
        <v>58394</v>
      </c>
      <c r="C709" s="6" t="s">
        <v>281</v>
      </c>
      <c r="D709" s="10" t="s">
        <v>289</v>
      </c>
    </row>
    <row r="710" spans="2:4" ht="15" x14ac:dyDescent="0.2">
      <c r="B710" s="31">
        <v>58434</v>
      </c>
      <c r="C710" s="6" t="s">
        <v>284</v>
      </c>
      <c r="D710" s="10" t="s">
        <v>290</v>
      </c>
    </row>
    <row r="711" spans="2:4" ht="15" x14ac:dyDescent="0.2">
      <c r="B711" s="31">
        <v>58441</v>
      </c>
      <c r="C711" s="6" t="s">
        <v>284</v>
      </c>
      <c r="D711" s="10" t="s">
        <v>276</v>
      </c>
    </row>
    <row r="712" spans="2:4" ht="15" x14ac:dyDescent="0.2">
      <c r="B712" s="31">
        <v>58501</v>
      </c>
      <c r="C712" s="6" t="s">
        <v>275</v>
      </c>
      <c r="D712" s="10" t="s">
        <v>277</v>
      </c>
    </row>
    <row r="713" spans="2:4" ht="15" x14ac:dyDescent="0.2">
      <c r="B713" s="31">
        <v>58502</v>
      </c>
      <c r="C713" s="6" t="s">
        <v>278</v>
      </c>
      <c r="D713" s="10" t="s">
        <v>277</v>
      </c>
    </row>
    <row r="714" spans="2:4" ht="15" x14ac:dyDescent="0.2">
      <c r="B714" s="31">
        <v>58547</v>
      </c>
      <c r="C714" s="6" t="s">
        <v>279</v>
      </c>
      <c r="D714" s="10" t="s">
        <v>280</v>
      </c>
    </row>
    <row r="715" spans="2:4" ht="15" x14ac:dyDescent="0.2">
      <c r="B715" s="31">
        <v>58552</v>
      </c>
      <c r="C715" s="6" t="s">
        <v>292</v>
      </c>
      <c r="D715" s="10" t="s">
        <v>282</v>
      </c>
    </row>
    <row r="716" spans="2:4" ht="15" x14ac:dyDescent="0.2">
      <c r="B716" s="31">
        <v>58562</v>
      </c>
      <c r="C716" s="6" t="s">
        <v>281</v>
      </c>
      <c r="D716" s="10" t="s">
        <v>283</v>
      </c>
    </row>
    <row r="717" spans="2:4" ht="15" x14ac:dyDescent="0.2">
      <c r="B717" s="31">
        <v>58609</v>
      </c>
      <c r="C717" s="6" t="s">
        <v>284</v>
      </c>
      <c r="D717" s="10" t="s">
        <v>285</v>
      </c>
    </row>
    <row r="718" spans="2:4" ht="15" x14ac:dyDescent="0.2">
      <c r="B718" s="31">
        <v>58691</v>
      </c>
      <c r="C718" s="6" t="s">
        <v>278</v>
      </c>
      <c r="D718" s="10" t="s">
        <v>286</v>
      </c>
    </row>
    <row r="719" spans="2:4" ht="15" x14ac:dyDescent="0.2">
      <c r="B719" s="31">
        <v>58726</v>
      </c>
      <c r="C719" s="6" t="s">
        <v>278</v>
      </c>
      <c r="D719" s="10" t="s">
        <v>287</v>
      </c>
    </row>
    <row r="720" spans="2:4" ht="15" x14ac:dyDescent="0.2">
      <c r="B720" s="31">
        <v>58747</v>
      </c>
      <c r="C720" s="6" t="s">
        <v>278</v>
      </c>
      <c r="D720" s="10" t="s">
        <v>288</v>
      </c>
    </row>
    <row r="721" spans="2:4" ht="15" x14ac:dyDescent="0.2">
      <c r="B721" s="31">
        <v>58760</v>
      </c>
      <c r="C721" s="6" t="s">
        <v>275</v>
      </c>
      <c r="D721" s="10" t="s">
        <v>289</v>
      </c>
    </row>
    <row r="722" spans="2:4" ht="15" x14ac:dyDescent="0.2">
      <c r="B722" s="31">
        <v>58800</v>
      </c>
      <c r="C722" s="6" t="s">
        <v>281</v>
      </c>
      <c r="D722" s="10" t="s">
        <v>290</v>
      </c>
    </row>
    <row r="723" spans="2:4" ht="15" x14ac:dyDescent="0.2">
      <c r="B723" s="31">
        <v>58807</v>
      </c>
      <c r="C723" s="6" t="s">
        <v>281</v>
      </c>
      <c r="D723" s="10" t="s">
        <v>276</v>
      </c>
    </row>
    <row r="724" spans="2:4" ht="15" x14ac:dyDescent="0.2">
      <c r="B724" s="31">
        <v>58858</v>
      </c>
      <c r="C724" s="6" t="s">
        <v>275</v>
      </c>
      <c r="D724" s="10" t="s">
        <v>277</v>
      </c>
    </row>
    <row r="725" spans="2:4" ht="15" x14ac:dyDescent="0.2">
      <c r="B725" s="31">
        <v>58859</v>
      </c>
      <c r="C725" s="6" t="s">
        <v>278</v>
      </c>
      <c r="D725" s="10" t="s">
        <v>277</v>
      </c>
    </row>
    <row r="726" spans="2:4" ht="15" x14ac:dyDescent="0.2">
      <c r="B726" s="31">
        <v>58904</v>
      </c>
      <c r="C726" s="6" t="s">
        <v>279</v>
      </c>
      <c r="D726" s="10" t="s">
        <v>280</v>
      </c>
    </row>
    <row r="727" spans="2:4" ht="15" x14ac:dyDescent="0.2">
      <c r="B727" s="31">
        <v>58917</v>
      </c>
      <c r="C727" s="6" t="s">
        <v>284</v>
      </c>
      <c r="D727" s="10" t="s">
        <v>282</v>
      </c>
    </row>
    <row r="728" spans="2:4" ht="15" x14ac:dyDescent="0.2">
      <c r="B728" s="31">
        <v>58927</v>
      </c>
      <c r="C728" s="6" t="s">
        <v>291</v>
      </c>
      <c r="D728" s="10" t="s">
        <v>283</v>
      </c>
    </row>
    <row r="729" spans="2:4" ht="15" x14ac:dyDescent="0.2">
      <c r="B729" s="31">
        <v>58966</v>
      </c>
      <c r="C729" s="6" t="s">
        <v>284</v>
      </c>
      <c r="D729" s="10" t="s">
        <v>285</v>
      </c>
    </row>
    <row r="730" spans="2:4" ht="15" x14ac:dyDescent="0.2">
      <c r="B730" s="31">
        <v>59056</v>
      </c>
      <c r="C730" s="6" t="s">
        <v>292</v>
      </c>
      <c r="D730" s="10" t="s">
        <v>286</v>
      </c>
    </row>
    <row r="731" spans="2:4" ht="15" x14ac:dyDescent="0.2">
      <c r="B731" s="31">
        <v>59091</v>
      </c>
      <c r="C731" s="6" t="s">
        <v>292</v>
      </c>
      <c r="D731" s="10" t="s">
        <v>287</v>
      </c>
    </row>
    <row r="732" spans="2:4" ht="15" x14ac:dyDescent="0.2">
      <c r="B732" s="31">
        <v>59112</v>
      </c>
      <c r="C732" s="6" t="s">
        <v>292</v>
      </c>
      <c r="D732" s="10" t="s">
        <v>288</v>
      </c>
    </row>
    <row r="733" spans="2:4" ht="15" x14ac:dyDescent="0.2">
      <c r="B733" s="31">
        <v>59125</v>
      </c>
      <c r="C733" s="6" t="s">
        <v>278</v>
      </c>
      <c r="D733" s="10" t="s">
        <v>289</v>
      </c>
    </row>
    <row r="734" spans="2:4" ht="15" x14ac:dyDescent="0.2">
      <c r="B734" s="31">
        <v>59165</v>
      </c>
      <c r="C734" s="6" t="s">
        <v>291</v>
      </c>
      <c r="D734" s="10" t="s">
        <v>290</v>
      </c>
    </row>
    <row r="735" spans="2:4" ht="15" x14ac:dyDescent="0.2">
      <c r="B735" s="31">
        <v>59172</v>
      </c>
      <c r="C735" s="6" t="s">
        <v>291</v>
      </c>
      <c r="D735" s="10" t="s">
        <v>276</v>
      </c>
    </row>
    <row r="736" spans="2:4" ht="15" x14ac:dyDescent="0.2">
      <c r="B736" s="31">
        <v>59208</v>
      </c>
      <c r="C736" s="6" t="s">
        <v>275</v>
      </c>
      <c r="D736" s="10" t="s">
        <v>277</v>
      </c>
    </row>
    <row r="737" spans="2:4" ht="15" x14ac:dyDescent="0.2">
      <c r="B737" s="31">
        <v>59209</v>
      </c>
      <c r="C737" s="6" t="s">
        <v>278</v>
      </c>
      <c r="D737" s="10" t="s">
        <v>277</v>
      </c>
    </row>
    <row r="738" spans="2:4" ht="15" x14ac:dyDescent="0.2">
      <c r="B738" s="31">
        <v>59254</v>
      </c>
      <c r="C738" s="6" t="s">
        <v>279</v>
      </c>
      <c r="D738" s="10" t="s">
        <v>280</v>
      </c>
    </row>
    <row r="739" spans="2:4" ht="15" x14ac:dyDescent="0.2">
      <c r="B739" s="31">
        <v>59282</v>
      </c>
      <c r="C739" s="6" t="s">
        <v>279</v>
      </c>
      <c r="D739" s="10" t="s">
        <v>282</v>
      </c>
    </row>
    <row r="740" spans="2:4" ht="15" x14ac:dyDescent="0.2">
      <c r="B740" s="31">
        <v>59292</v>
      </c>
      <c r="C740" s="6" t="s">
        <v>275</v>
      </c>
      <c r="D740" s="10" t="s">
        <v>283</v>
      </c>
    </row>
    <row r="741" spans="2:4" ht="15" x14ac:dyDescent="0.2">
      <c r="B741" s="31">
        <v>59316</v>
      </c>
      <c r="C741" s="6" t="s">
        <v>284</v>
      </c>
      <c r="D741" s="10" t="s">
        <v>285</v>
      </c>
    </row>
    <row r="742" spans="2:4" ht="15" x14ac:dyDescent="0.2">
      <c r="B742" s="31">
        <v>59421</v>
      </c>
      <c r="C742" s="6" t="s">
        <v>284</v>
      </c>
      <c r="D742" s="10" t="s">
        <v>286</v>
      </c>
    </row>
    <row r="743" spans="2:4" ht="15" x14ac:dyDescent="0.2">
      <c r="B743" s="31">
        <v>59456</v>
      </c>
      <c r="C743" s="6" t="s">
        <v>284</v>
      </c>
      <c r="D743" s="10" t="s">
        <v>287</v>
      </c>
    </row>
    <row r="744" spans="2:4" ht="15" x14ac:dyDescent="0.2">
      <c r="B744" s="31">
        <v>59477</v>
      </c>
      <c r="C744" s="6" t="s">
        <v>284</v>
      </c>
      <c r="D744" s="10" t="s">
        <v>288</v>
      </c>
    </row>
    <row r="745" spans="2:4" ht="15" x14ac:dyDescent="0.2">
      <c r="B745" s="31">
        <v>59490</v>
      </c>
      <c r="C745" s="6" t="s">
        <v>292</v>
      </c>
      <c r="D745" s="10" t="s">
        <v>289</v>
      </c>
    </row>
    <row r="746" spans="2:4" ht="15" x14ac:dyDescent="0.2">
      <c r="B746" s="31">
        <v>59530</v>
      </c>
      <c r="C746" s="6" t="s">
        <v>275</v>
      </c>
      <c r="D746" s="10" t="s">
        <v>290</v>
      </c>
    </row>
    <row r="747" spans="2:4" ht="15" x14ac:dyDescent="0.2">
      <c r="B747" s="31">
        <v>59537</v>
      </c>
      <c r="C747" s="6" t="s">
        <v>275</v>
      </c>
      <c r="D747" s="10" t="s">
        <v>276</v>
      </c>
    </row>
    <row r="748" spans="2:4" ht="15" x14ac:dyDescent="0.2">
      <c r="B748" s="31">
        <v>59593</v>
      </c>
      <c r="C748" s="6" t="s">
        <v>275</v>
      </c>
      <c r="D748" s="10" t="s">
        <v>277</v>
      </c>
    </row>
    <row r="749" spans="2:4" ht="15" x14ac:dyDescent="0.2">
      <c r="B749" s="31">
        <v>59594</v>
      </c>
      <c r="C749" s="6" t="s">
        <v>278</v>
      </c>
      <c r="D749" s="10" t="s">
        <v>277</v>
      </c>
    </row>
    <row r="750" spans="2:4" ht="15" x14ac:dyDescent="0.2">
      <c r="B750" s="31">
        <v>59639</v>
      </c>
      <c r="C750" s="6" t="s">
        <v>279</v>
      </c>
      <c r="D750" s="10" t="s">
        <v>280</v>
      </c>
    </row>
    <row r="751" spans="2:4" ht="15" x14ac:dyDescent="0.2">
      <c r="B751" s="31">
        <v>59647</v>
      </c>
      <c r="C751" s="6" t="s">
        <v>281</v>
      </c>
      <c r="D751" s="10" t="s">
        <v>282</v>
      </c>
    </row>
    <row r="752" spans="2:4" ht="15" x14ac:dyDescent="0.2">
      <c r="B752" s="31">
        <v>59657</v>
      </c>
      <c r="C752" s="6" t="s">
        <v>278</v>
      </c>
      <c r="D752" s="10" t="s">
        <v>283</v>
      </c>
    </row>
    <row r="753" spans="2:4" ht="15" x14ac:dyDescent="0.2">
      <c r="B753" s="31">
        <v>59701</v>
      </c>
      <c r="C753" s="6" t="s">
        <v>284</v>
      </c>
      <c r="D753" s="10" t="s">
        <v>285</v>
      </c>
    </row>
    <row r="754" spans="2:4" ht="15" x14ac:dyDescent="0.2">
      <c r="B754" s="31">
        <v>59786</v>
      </c>
      <c r="C754" s="6" t="s">
        <v>279</v>
      </c>
      <c r="D754" s="10" t="s">
        <v>286</v>
      </c>
    </row>
    <row r="755" spans="2:4" ht="15" x14ac:dyDescent="0.2">
      <c r="B755" s="31">
        <v>59821</v>
      </c>
      <c r="C755" s="6" t="s">
        <v>279</v>
      </c>
      <c r="D755" s="10" t="s">
        <v>287</v>
      </c>
    </row>
    <row r="756" spans="2:4" ht="15" x14ac:dyDescent="0.2">
      <c r="B756" s="31">
        <v>59842</v>
      </c>
      <c r="C756" s="6" t="s">
        <v>279</v>
      </c>
      <c r="D756" s="10" t="s">
        <v>288</v>
      </c>
    </row>
    <row r="757" spans="2:4" ht="15" x14ac:dyDescent="0.2">
      <c r="B757" s="31">
        <v>59855</v>
      </c>
      <c r="C757" s="6" t="s">
        <v>284</v>
      </c>
      <c r="D757" s="10" t="s">
        <v>289</v>
      </c>
    </row>
    <row r="758" spans="2:4" ht="15" x14ac:dyDescent="0.2">
      <c r="B758" s="31">
        <v>59895</v>
      </c>
      <c r="C758" s="6" t="s">
        <v>278</v>
      </c>
      <c r="D758" s="10" t="s">
        <v>290</v>
      </c>
    </row>
    <row r="759" spans="2:4" ht="15" x14ac:dyDescent="0.2">
      <c r="B759" s="31">
        <v>59902</v>
      </c>
      <c r="C759" s="6" t="s">
        <v>278</v>
      </c>
      <c r="D759" s="10" t="s">
        <v>276</v>
      </c>
    </row>
    <row r="760" spans="2:4" ht="15" x14ac:dyDescent="0.2">
      <c r="B760" s="31">
        <v>59950</v>
      </c>
      <c r="C760" s="6" t="s">
        <v>275</v>
      </c>
      <c r="D760" s="10" t="s">
        <v>277</v>
      </c>
    </row>
    <row r="761" spans="2:4" ht="15" x14ac:dyDescent="0.2">
      <c r="B761" s="31">
        <v>59951</v>
      </c>
      <c r="C761" s="6" t="s">
        <v>278</v>
      </c>
      <c r="D761" s="10" t="s">
        <v>277</v>
      </c>
    </row>
    <row r="762" spans="2:4" ht="15" x14ac:dyDescent="0.2">
      <c r="B762" s="31">
        <v>59996</v>
      </c>
      <c r="C762" s="6" t="s">
        <v>279</v>
      </c>
      <c r="D762" s="10" t="s">
        <v>280</v>
      </c>
    </row>
    <row r="763" spans="2:4" ht="15" x14ac:dyDescent="0.2">
      <c r="B763" s="31">
        <v>60013</v>
      </c>
      <c r="C763" s="6" t="s">
        <v>275</v>
      </c>
      <c r="D763" s="10" t="s">
        <v>282</v>
      </c>
    </row>
    <row r="764" spans="2:4" ht="15" x14ac:dyDescent="0.2">
      <c r="B764" s="31">
        <v>60023</v>
      </c>
      <c r="C764" s="6" t="s">
        <v>284</v>
      </c>
      <c r="D764" s="10" t="s">
        <v>283</v>
      </c>
    </row>
    <row r="765" spans="2:4" ht="15" x14ac:dyDescent="0.2">
      <c r="B765" s="31">
        <v>60058</v>
      </c>
      <c r="C765" s="6" t="s">
        <v>284</v>
      </c>
      <c r="D765" s="10" t="s">
        <v>285</v>
      </c>
    </row>
    <row r="766" spans="2:4" ht="15" x14ac:dyDescent="0.2">
      <c r="B766" s="31">
        <v>60152</v>
      </c>
      <c r="C766" s="6" t="s">
        <v>291</v>
      </c>
      <c r="D766" s="10" t="s">
        <v>286</v>
      </c>
    </row>
    <row r="767" spans="2:4" ht="15" x14ac:dyDescent="0.2">
      <c r="B767" s="31">
        <v>60187</v>
      </c>
      <c r="C767" s="6" t="s">
        <v>291</v>
      </c>
      <c r="D767" s="10" t="s">
        <v>287</v>
      </c>
    </row>
    <row r="768" spans="2:4" ht="15" x14ac:dyDescent="0.2">
      <c r="B768" s="31">
        <v>60208</v>
      </c>
      <c r="C768" s="6" t="s">
        <v>291</v>
      </c>
      <c r="D768" s="10" t="s">
        <v>288</v>
      </c>
    </row>
    <row r="769" spans="2:4" ht="15" x14ac:dyDescent="0.2">
      <c r="B769" s="31">
        <v>60221</v>
      </c>
      <c r="C769" s="6" t="s">
        <v>281</v>
      </c>
      <c r="D769" s="10" t="s">
        <v>289</v>
      </c>
    </row>
    <row r="770" spans="2:4" ht="15" x14ac:dyDescent="0.2">
      <c r="B770" s="31">
        <v>60261</v>
      </c>
      <c r="C770" s="6" t="s">
        <v>284</v>
      </c>
      <c r="D770" s="10" t="s">
        <v>290</v>
      </c>
    </row>
    <row r="771" spans="2:4" ht="15" x14ac:dyDescent="0.2">
      <c r="B771" s="31">
        <v>60268</v>
      </c>
      <c r="C771" s="6" t="s">
        <v>284</v>
      </c>
      <c r="D771" s="10" t="s">
        <v>276</v>
      </c>
    </row>
    <row r="772" spans="2:4" ht="15" x14ac:dyDescent="0.2">
      <c r="B772" s="31">
        <v>60307</v>
      </c>
      <c r="C772" s="6" t="s">
        <v>275</v>
      </c>
      <c r="D772" s="10" t="s">
        <v>277</v>
      </c>
    </row>
    <row r="773" spans="2:4" ht="15" x14ac:dyDescent="0.2">
      <c r="B773" s="31">
        <v>60308</v>
      </c>
      <c r="C773" s="6" t="s">
        <v>278</v>
      </c>
      <c r="D773" s="10" t="s">
        <v>277</v>
      </c>
    </row>
    <row r="774" spans="2:4" ht="15" x14ac:dyDescent="0.2">
      <c r="B774" s="31">
        <v>60353</v>
      </c>
      <c r="C774" s="6" t="s">
        <v>279</v>
      </c>
      <c r="D774" s="10" t="s">
        <v>280</v>
      </c>
    </row>
    <row r="775" spans="2:4" ht="15" x14ac:dyDescent="0.2">
      <c r="B775" s="31">
        <v>60378</v>
      </c>
      <c r="C775" s="6" t="s">
        <v>278</v>
      </c>
      <c r="D775" s="10" t="s">
        <v>282</v>
      </c>
    </row>
    <row r="776" spans="2:4" ht="15" x14ac:dyDescent="0.2">
      <c r="B776" s="31">
        <v>60388</v>
      </c>
      <c r="C776" s="6" t="s">
        <v>279</v>
      </c>
      <c r="D776" s="10" t="s">
        <v>283</v>
      </c>
    </row>
    <row r="777" spans="2:4" ht="15" x14ac:dyDescent="0.2">
      <c r="B777" s="31">
        <v>60415</v>
      </c>
      <c r="C777" s="6" t="s">
        <v>284</v>
      </c>
      <c r="D777" s="10" t="s">
        <v>285</v>
      </c>
    </row>
    <row r="778" spans="2:4" ht="15" x14ac:dyDescent="0.2">
      <c r="B778" s="31">
        <v>60517</v>
      </c>
      <c r="C778" s="6" t="s">
        <v>275</v>
      </c>
      <c r="D778" s="10" t="s">
        <v>286</v>
      </c>
    </row>
    <row r="779" spans="2:4" ht="15" x14ac:dyDescent="0.2">
      <c r="B779" s="31">
        <v>60552</v>
      </c>
      <c r="C779" s="6" t="s">
        <v>275</v>
      </c>
      <c r="D779" s="10" t="s">
        <v>287</v>
      </c>
    </row>
    <row r="780" spans="2:4" ht="15" x14ac:dyDescent="0.2">
      <c r="B780" s="31">
        <v>60573</v>
      </c>
      <c r="C780" s="6" t="s">
        <v>275</v>
      </c>
      <c r="D780" s="10" t="s">
        <v>288</v>
      </c>
    </row>
    <row r="781" spans="2:4" ht="15" x14ac:dyDescent="0.2">
      <c r="B781" s="31">
        <v>60586</v>
      </c>
      <c r="C781" s="6" t="s">
        <v>291</v>
      </c>
      <c r="D781" s="10" t="s">
        <v>289</v>
      </c>
    </row>
    <row r="782" spans="2:4" ht="15" x14ac:dyDescent="0.2">
      <c r="B782" s="31">
        <v>60626</v>
      </c>
      <c r="C782" s="6" t="s">
        <v>279</v>
      </c>
      <c r="D782" s="10" t="s">
        <v>290</v>
      </c>
    </row>
    <row r="783" spans="2:4" ht="15" x14ac:dyDescent="0.2">
      <c r="B783" s="31">
        <v>60633</v>
      </c>
      <c r="C783" s="6" t="s">
        <v>279</v>
      </c>
      <c r="D783" s="10" t="s">
        <v>276</v>
      </c>
    </row>
    <row r="784" spans="2:4" ht="15" x14ac:dyDescent="0.2">
      <c r="B784" s="31">
        <v>60685</v>
      </c>
      <c r="C784" s="6" t="s">
        <v>275</v>
      </c>
      <c r="D784" s="10" t="s">
        <v>277</v>
      </c>
    </row>
    <row r="785" spans="2:4" ht="15" x14ac:dyDescent="0.2">
      <c r="B785" s="31">
        <v>60686</v>
      </c>
      <c r="C785" s="6" t="s">
        <v>278</v>
      </c>
      <c r="D785" s="10" t="s">
        <v>277</v>
      </c>
    </row>
    <row r="786" spans="2:4" ht="15" x14ac:dyDescent="0.2">
      <c r="B786" s="31">
        <v>60731</v>
      </c>
      <c r="C786" s="6" t="s">
        <v>279</v>
      </c>
      <c r="D786" s="10" t="s">
        <v>280</v>
      </c>
    </row>
    <row r="787" spans="2:4" ht="15" x14ac:dyDescent="0.2">
      <c r="B787" s="31">
        <v>60743</v>
      </c>
      <c r="C787" s="6" t="s">
        <v>292</v>
      </c>
      <c r="D787" s="10" t="s">
        <v>282</v>
      </c>
    </row>
    <row r="788" spans="2:4" ht="15" x14ac:dyDescent="0.2">
      <c r="B788" s="31">
        <v>60753</v>
      </c>
      <c r="C788" s="6" t="s">
        <v>281</v>
      </c>
      <c r="D788" s="10" t="s">
        <v>283</v>
      </c>
    </row>
    <row r="789" spans="2:4" ht="15" x14ac:dyDescent="0.2">
      <c r="B789" s="31">
        <v>60793</v>
      </c>
      <c r="C789" s="6" t="s">
        <v>284</v>
      </c>
      <c r="D789" s="10" t="s">
        <v>285</v>
      </c>
    </row>
    <row r="790" spans="2:4" ht="15" x14ac:dyDescent="0.2">
      <c r="B790" s="31">
        <v>60882</v>
      </c>
      <c r="C790" s="6" t="s">
        <v>278</v>
      </c>
      <c r="D790" s="10" t="s">
        <v>286</v>
      </c>
    </row>
    <row r="791" spans="2:4" ht="15" x14ac:dyDescent="0.2">
      <c r="B791" s="31">
        <v>60917</v>
      </c>
      <c r="C791" s="6" t="s">
        <v>278</v>
      </c>
      <c r="D791" s="10" t="s">
        <v>287</v>
      </c>
    </row>
    <row r="792" spans="2:4" ht="15" x14ac:dyDescent="0.2">
      <c r="B792" s="31">
        <v>60938</v>
      </c>
      <c r="C792" s="6" t="s">
        <v>278</v>
      </c>
      <c r="D792" s="10" t="s">
        <v>288</v>
      </c>
    </row>
    <row r="793" spans="2:4" ht="15" x14ac:dyDescent="0.2">
      <c r="B793" s="31">
        <v>60951</v>
      </c>
      <c r="C793" s="6" t="s">
        <v>275</v>
      </c>
      <c r="D793" s="10" t="s">
        <v>289</v>
      </c>
    </row>
    <row r="794" spans="2:4" ht="15" x14ac:dyDescent="0.2">
      <c r="B794" s="31">
        <v>60991</v>
      </c>
      <c r="C794" s="6" t="s">
        <v>281</v>
      </c>
      <c r="D794" s="10" t="s">
        <v>290</v>
      </c>
    </row>
    <row r="795" spans="2:4" ht="15" x14ac:dyDescent="0.2">
      <c r="B795" s="31">
        <v>60998</v>
      </c>
      <c r="C795" s="6" t="s">
        <v>281</v>
      </c>
      <c r="D795" s="10" t="s">
        <v>276</v>
      </c>
    </row>
    <row r="796" spans="2:4" ht="15" x14ac:dyDescent="0.2">
      <c r="B796" s="31">
        <v>61042</v>
      </c>
      <c r="C796" s="6" t="s">
        <v>275</v>
      </c>
      <c r="D796" s="10" t="s">
        <v>277</v>
      </c>
    </row>
    <row r="797" spans="2:4" ht="15" x14ac:dyDescent="0.2">
      <c r="B797" s="31">
        <v>61043</v>
      </c>
      <c r="C797" s="6" t="s">
        <v>278</v>
      </c>
      <c r="D797" s="10" t="s">
        <v>277</v>
      </c>
    </row>
    <row r="798" spans="2:4" ht="15" x14ac:dyDescent="0.2">
      <c r="B798" s="31">
        <v>61088</v>
      </c>
      <c r="C798" s="6" t="s">
        <v>279</v>
      </c>
      <c r="D798" s="10" t="s">
        <v>280</v>
      </c>
    </row>
    <row r="799" spans="2:4" ht="15" x14ac:dyDescent="0.2">
      <c r="B799" s="31">
        <v>61108</v>
      </c>
      <c r="C799" s="6" t="s">
        <v>284</v>
      </c>
      <c r="D799" s="10" t="s">
        <v>282</v>
      </c>
    </row>
    <row r="800" spans="2:4" ht="15" x14ac:dyDescent="0.2">
      <c r="B800" s="31">
        <v>61118</v>
      </c>
      <c r="C800" s="6" t="s">
        <v>291</v>
      </c>
      <c r="D800" s="10" t="s">
        <v>283</v>
      </c>
    </row>
    <row r="801" spans="2:4" ht="15" x14ac:dyDescent="0.2">
      <c r="B801" s="31">
        <v>61150</v>
      </c>
      <c r="C801" s="6" t="s">
        <v>284</v>
      </c>
      <c r="D801" s="10" t="s">
        <v>285</v>
      </c>
    </row>
    <row r="802" spans="2:4" ht="15" x14ac:dyDescent="0.2">
      <c r="B802" s="31">
        <v>61247</v>
      </c>
      <c r="C802" s="6" t="s">
        <v>292</v>
      </c>
      <c r="D802" s="10" t="s">
        <v>286</v>
      </c>
    </row>
    <row r="803" spans="2:4" ht="15" x14ac:dyDescent="0.2">
      <c r="B803" s="31">
        <v>61282</v>
      </c>
      <c r="C803" s="6" t="s">
        <v>292</v>
      </c>
      <c r="D803" s="10" t="s">
        <v>287</v>
      </c>
    </row>
    <row r="804" spans="2:4" ht="15" x14ac:dyDescent="0.2">
      <c r="B804" s="31">
        <v>61303</v>
      </c>
      <c r="C804" s="6" t="s">
        <v>292</v>
      </c>
      <c r="D804" s="10" t="s">
        <v>288</v>
      </c>
    </row>
    <row r="805" spans="2:4" ht="15" x14ac:dyDescent="0.2">
      <c r="B805" s="31">
        <v>61316</v>
      </c>
      <c r="C805" s="6" t="s">
        <v>278</v>
      </c>
      <c r="D805" s="10" t="s">
        <v>289</v>
      </c>
    </row>
    <row r="806" spans="2:4" ht="15" x14ac:dyDescent="0.2">
      <c r="B806" s="31">
        <v>61356</v>
      </c>
      <c r="C806" s="6" t="s">
        <v>291</v>
      </c>
      <c r="D806" s="10" t="s">
        <v>290</v>
      </c>
    </row>
    <row r="807" spans="2:4" ht="15" x14ac:dyDescent="0.2">
      <c r="B807" s="31">
        <v>61363</v>
      </c>
      <c r="C807" s="6" t="s">
        <v>291</v>
      </c>
      <c r="D807" s="10" t="s">
        <v>276</v>
      </c>
    </row>
    <row r="808" spans="2:4" ht="15" x14ac:dyDescent="0.2">
      <c r="B808" s="31">
        <v>61427</v>
      </c>
      <c r="C808" s="6" t="s">
        <v>275</v>
      </c>
      <c r="D808" s="10" t="s">
        <v>277</v>
      </c>
    </row>
    <row r="809" spans="2:4" ht="15" x14ac:dyDescent="0.2">
      <c r="B809" s="31">
        <v>61428</v>
      </c>
      <c r="C809" s="6" t="s">
        <v>278</v>
      </c>
      <c r="D809" s="10" t="s">
        <v>277</v>
      </c>
    </row>
    <row r="810" spans="2:4" ht="15" x14ac:dyDescent="0.2">
      <c r="B810" s="31">
        <v>61473</v>
      </c>
      <c r="C810" s="6" t="s">
        <v>279</v>
      </c>
      <c r="D810" s="10" t="s">
        <v>280</v>
      </c>
    </row>
    <row r="811" spans="2:4" ht="15" x14ac:dyDescent="0.2">
      <c r="B811" s="31">
        <v>61474</v>
      </c>
      <c r="C811" s="6" t="s">
        <v>281</v>
      </c>
      <c r="D811" s="10" t="s">
        <v>282</v>
      </c>
    </row>
    <row r="812" spans="2:4" ht="15" x14ac:dyDescent="0.2">
      <c r="B812" s="31">
        <v>61484</v>
      </c>
      <c r="C812" s="6" t="s">
        <v>278</v>
      </c>
      <c r="D812" s="10" t="s">
        <v>283</v>
      </c>
    </row>
    <row r="813" spans="2:4" ht="15" x14ac:dyDescent="0.2">
      <c r="B813" s="31">
        <v>61535</v>
      </c>
      <c r="C813" s="6" t="s">
        <v>284</v>
      </c>
      <c r="D813" s="10" t="s">
        <v>285</v>
      </c>
    </row>
    <row r="814" spans="2:4" ht="15" x14ac:dyDescent="0.2">
      <c r="B814" s="31">
        <v>61613</v>
      </c>
      <c r="C814" s="6" t="s">
        <v>279</v>
      </c>
      <c r="D814" s="10" t="s">
        <v>286</v>
      </c>
    </row>
    <row r="815" spans="2:4" ht="15" x14ac:dyDescent="0.2">
      <c r="B815" s="31">
        <v>61648</v>
      </c>
      <c r="C815" s="6" t="s">
        <v>279</v>
      </c>
      <c r="D815" s="10" t="s">
        <v>287</v>
      </c>
    </row>
    <row r="816" spans="2:4" ht="15" x14ac:dyDescent="0.2">
      <c r="B816" s="31">
        <v>61669</v>
      </c>
      <c r="C816" s="6" t="s">
        <v>279</v>
      </c>
      <c r="D816" s="10" t="s">
        <v>288</v>
      </c>
    </row>
    <row r="817" spans="2:4" ht="15" x14ac:dyDescent="0.2">
      <c r="B817" s="31">
        <v>61682</v>
      </c>
      <c r="C817" s="6" t="s">
        <v>284</v>
      </c>
      <c r="D817" s="10" t="s">
        <v>289</v>
      </c>
    </row>
    <row r="818" spans="2:4" ht="15" x14ac:dyDescent="0.2">
      <c r="B818" s="31">
        <v>61722</v>
      </c>
      <c r="C818" s="6" t="s">
        <v>278</v>
      </c>
      <c r="D818" s="10" t="s">
        <v>290</v>
      </c>
    </row>
    <row r="819" spans="2:4" ht="15" x14ac:dyDescent="0.2">
      <c r="B819" s="31">
        <v>61729</v>
      </c>
      <c r="C819" s="6" t="s">
        <v>278</v>
      </c>
      <c r="D819" s="10" t="s">
        <v>276</v>
      </c>
    </row>
    <row r="820" spans="2:4" ht="15" x14ac:dyDescent="0.2">
      <c r="B820" s="31">
        <v>61784</v>
      </c>
      <c r="C820" s="6" t="s">
        <v>275</v>
      </c>
      <c r="D820" s="10" t="s">
        <v>277</v>
      </c>
    </row>
    <row r="821" spans="2:4" ht="15" x14ac:dyDescent="0.2">
      <c r="B821" s="31">
        <v>61785</v>
      </c>
      <c r="C821" s="6" t="s">
        <v>278</v>
      </c>
      <c r="D821" s="10" t="s">
        <v>277</v>
      </c>
    </row>
    <row r="822" spans="2:4" ht="15" x14ac:dyDescent="0.2">
      <c r="B822" s="31">
        <v>61830</v>
      </c>
      <c r="C822" s="6" t="s">
        <v>279</v>
      </c>
      <c r="D822" s="10" t="s">
        <v>280</v>
      </c>
    </row>
    <row r="823" spans="2:4" ht="15" x14ac:dyDescent="0.2">
      <c r="B823" s="31">
        <v>61839</v>
      </c>
      <c r="C823" s="6" t="s">
        <v>291</v>
      </c>
      <c r="D823" s="10" t="s">
        <v>282</v>
      </c>
    </row>
    <row r="824" spans="2:4" ht="15" x14ac:dyDescent="0.2">
      <c r="B824" s="31">
        <v>61849</v>
      </c>
      <c r="C824" s="6" t="s">
        <v>292</v>
      </c>
      <c r="D824" s="10" t="s">
        <v>283</v>
      </c>
    </row>
    <row r="825" spans="2:4" ht="15" x14ac:dyDescent="0.2">
      <c r="B825" s="31">
        <v>61892</v>
      </c>
      <c r="C825" s="6" t="s">
        <v>284</v>
      </c>
      <c r="D825" s="10" t="s">
        <v>285</v>
      </c>
    </row>
    <row r="826" spans="2:4" ht="15" x14ac:dyDescent="0.2">
      <c r="B826" s="31">
        <v>61978</v>
      </c>
      <c r="C826" s="6" t="s">
        <v>281</v>
      </c>
      <c r="D826" s="10" t="s">
        <v>286</v>
      </c>
    </row>
    <row r="827" spans="2:4" ht="15" x14ac:dyDescent="0.2">
      <c r="B827" s="31">
        <v>62013</v>
      </c>
      <c r="C827" s="6" t="s">
        <v>281</v>
      </c>
      <c r="D827" s="10" t="s">
        <v>287</v>
      </c>
    </row>
    <row r="828" spans="2:4" ht="15" x14ac:dyDescent="0.2">
      <c r="B828" s="31">
        <v>62034</v>
      </c>
      <c r="C828" s="6" t="s">
        <v>281</v>
      </c>
      <c r="D828" s="10" t="s">
        <v>288</v>
      </c>
    </row>
    <row r="829" spans="2:4" ht="15" x14ac:dyDescent="0.2">
      <c r="B829" s="31">
        <v>62047</v>
      </c>
      <c r="C829" s="6" t="s">
        <v>279</v>
      </c>
      <c r="D829" s="10" t="s">
        <v>289</v>
      </c>
    </row>
    <row r="830" spans="2:4" ht="15" x14ac:dyDescent="0.2">
      <c r="B830" s="31">
        <v>62087</v>
      </c>
      <c r="C830" s="6" t="s">
        <v>292</v>
      </c>
      <c r="D830" s="10" t="s">
        <v>290</v>
      </c>
    </row>
    <row r="831" spans="2:4" ht="15" x14ac:dyDescent="0.2">
      <c r="B831" s="31">
        <v>62094</v>
      </c>
      <c r="C831" s="6" t="s">
        <v>292</v>
      </c>
      <c r="D831" s="10" t="s">
        <v>276</v>
      </c>
    </row>
    <row r="832" spans="2:4" ht="15" x14ac:dyDescent="0.2">
      <c r="B832" s="31">
        <v>62134</v>
      </c>
      <c r="C832" s="6" t="s">
        <v>275</v>
      </c>
      <c r="D832" s="10" t="s">
        <v>277</v>
      </c>
    </row>
    <row r="833" spans="2:4" ht="15" x14ac:dyDescent="0.2">
      <c r="B833" s="31">
        <v>62135</v>
      </c>
      <c r="C833" s="6" t="s">
        <v>278</v>
      </c>
      <c r="D833" s="10" t="s">
        <v>277</v>
      </c>
    </row>
    <row r="834" spans="2:4" ht="15" x14ac:dyDescent="0.2">
      <c r="B834" s="31">
        <v>62180</v>
      </c>
      <c r="C834" s="6" t="s">
        <v>279</v>
      </c>
      <c r="D834" s="10" t="s">
        <v>280</v>
      </c>
    </row>
    <row r="835" spans="2:4" ht="15" x14ac:dyDescent="0.2">
      <c r="B835" s="31">
        <v>62204</v>
      </c>
      <c r="C835" s="6" t="s">
        <v>275</v>
      </c>
      <c r="D835" s="10" t="s">
        <v>282</v>
      </c>
    </row>
    <row r="836" spans="2:4" ht="15" x14ac:dyDescent="0.2">
      <c r="B836" s="31">
        <v>62214</v>
      </c>
      <c r="C836" s="6" t="s">
        <v>284</v>
      </c>
      <c r="D836" s="10" t="s">
        <v>283</v>
      </c>
    </row>
    <row r="837" spans="2:4" ht="15" x14ac:dyDescent="0.2">
      <c r="B837" s="31">
        <v>62242</v>
      </c>
      <c r="C837" s="6" t="s">
        <v>284</v>
      </c>
      <c r="D837" s="10" t="s">
        <v>285</v>
      </c>
    </row>
    <row r="838" spans="2:4" ht="15" x14ac:dyDescent="0.2">
      <c r="B838" s="31">
        <v>62343</v>
      </c>
      <c r="C838" s="6" t="s">
        <v>291</v>
      </c>
      <c r="D838" s="10" t="s">
        <v>286</v>
      </c>
    </row>
    <row r="839" spans="2:4" ht="15" x14ac:dyDescent="0.2">
      <c r="B839" s="31">
        <v>62378</v>
      </c>
      <c r="C839" s="6" t="s">
        <v>291</v>
      </c>
      <c r="D839" s="10" t="s">
        <v>287</v>
      </c>
    </row>
    <row r="840" spans="2:4" ht="15" x14ac:dyDescent="0.2">
      <c r="B840" s="31">
        <v>62399</v>
      </c>
      <c r="C840" s="6" t="s">
        <v>291</v>
      </c>
      <c r="D840" s="10" t="s">
        <v>288</v>
      </c>
    </row>
    <row r="841" spans="2:4" ht="15" x14ac:dyDescent="0.2">
      <c r="B841" s="31">
        <v>62412</v>
      </c>
      <c r="C841" s="6" t="s">
        <v>281</v>
      </c>
      <c r="D841" s="10" t="s">
        <v>289</v>
      </c>
    </row>
    <row r="842" spans="2:4" ht="15" x14ac:dyDescent="0.2">
      <c r="B842" s="31">
        <v>62452</v>
      </c>
      <c r="C842" s="6" t="s">
        <v>284</v>
      </c>
      <c r="D842" s="10" t="s">
        <v>290</v>
      </c>
    </row>
    <row r="843" spans="2:4" ht="15" x14ac:dyDescent="0.2">
      <c r="B843" s="31">
        <v>62459</v>
      </c>
      <c r="C843" s="6" t="s">
        <v>284</v>
      </c>
      <c r="D843" s="10" t="s">
        <v>276</v>
      </c>
    </row>
    <row r="844" spans="2:4" ht="15" x14ac:dyDescent="0.2">
      <c r="B844" s="31">
        <v>62519</v>
      </c>
      <c r="C844" s="6" t="s">
        <v>275</v>
      </c>
      <c r="D844" s="10" t="s">
        <v>277</v>
      </c>
    </row>
    <row r="845" spans="2:4" ht="15" x14ac:dyDescent="0.2">
      <c r="B845" s="31">
        <v>62520</v>
      </c>
      <c r="C845" s="6" t="s">
        <v>278</v>
      </c>
      <c r="D845" s="10" t="s">
        <v>277</v>
      </c>
    </row>
    <row r="846" spans="2:4" ht="15" x14ac:dyDescent="0.2">
      <c r="B846" s="31">
        <v>62565</v>
      </c>
      <c r="C846" s="6" t="s">
        <v>279</v>
      </c>
      <c r="D846" s="10" t="s">
        <v>280</v>
      </c>
    </row>
    <row r="847" spans="2:4" ht="15" x14ac:dyDescent="0.2">
      <c r="B847" s="31">
        <v>62569</v>
      </c>
      <c r="C847" s="6" t="s">
        <v>278</v>
      </c>
      <c r="D847" s="10" t="s">
        <v>282</v>
      </c>
    </row>
    <row r="848" spans="2:4" ht="15" x14ac:dyDescent="0.2">
      <c r="B848" s="31">
        <v>62579</v>
      </c>
      <c r="C848" s="6" t="s">
        <v>279</v>
      </c>
      <c r="D848" s="10" t="s">
        <v>283</v>
      </c>
    </row>
    <row r="849" spans="2:4" ht="15" x14ac:dyDescent="0.2">
      <c r="B849" s="31">
        <v>62627</v>
      </c>
      <c r="C849" s="6" t="s">
        <v>284</v>
      </c>
      <c r="D849" s="10" t="s">
        <v>285</v>
      </c>
    </row>
    <row r="850" spans="2:4" ht="15" x14ac:dyDescent="0.2">
      <c r="B850" s="31">
        <v>62708</v>
      </c>
      <c r="C850" s="6" t="s">
        <v>275</v>
      </c>
      <c r="D850" s="10" t="s">
        <v>286</v>
      </c>
    </row>
    <row r="851" spans="2:4" ht="15" x14ac:dyDescent="0.2">
      <c r="B851" s="31">
        <v>62743</v>
      </c>
      <c r="C851" s="6" t="s">
        <v>275</v>
      </c>
      <c r="D851" s="10" t="s">
        <v>287</v>
      </c>
    </row>
    <row r="852" spans="2:4" ht="15" x14ac:dyDescent="0.2">
      <c r="B852" s="31">
        <v>62764</v>
      </c>
      <c r="C852" s="6" t="s">
        <v>275</v>
      </c>
      <c r="D852" s="10" t="s">
        <v>288</v>
      </c>
    </row>
    <row r="853" spans="2:4" ht="15" x14ac:dyDescent="0.2">
      <c r="B853" s="31">
        <v>62777</v>
      </c>
      <c r="C853" s="6" t="s">
        <v>291</v>
      </c>
      <c r="D853" s="10" t="s">
        <v>289</v>
      </c>
    </row>
    <row r="854" spans="2:4" ht="15" x14ac:dyDescent="0.2">
      <c r="B854" s="31">
        <v>62817</v>
      </c>
      <c r="C854" s="6" t="s">
        <v>279</v>
      </c>
      <c r="D854" s="10" t="s">
        <v>290</v>
      </c>
    </row>
    <row r="855" spans="2:4" ht="15" x14ac:dyDescent="0.2">
      <c r="B855" s="31">
        <v>62824</v>
      </c>
      <c r="C855" s="6" t="s">
        <v>279</v>
      </c>
      <c r="D855" s="10" t="s">
        <v>276</v>
      </c>
    </row>
    <row r="856" spans="2:4" ht="15" x14ac:dyDescent="0.2">
      <c r="B856" s="31">
        <v>62876</v>
      </c>
      <c r="C856" s="6" t="s">
        <v>275</v>
      </c>
      <c r="D856" s="10" t="s">
        <v>277</v>
      </c>
    </row>
    <row r="857" spans="2:4" ht="15" x14ac:dyDescent="0.2">
      <c r="B857" s="31">
        <v>62877</v>
      </c>
      <c r="C857" s="6" t="s">
        <v>278</v>
      </c>
      <c r="D857" s="10" t="s">
        <v>277</v>
      </c>
    </row>
    <row r="858" spans="2:4" ht="15" x14ac:dyDescent="0.2">
      <c r="B858" s="31">
        <v>62922</v>
      </c>
      <c r="C858" s="6" t="s">
        <v>279</v>
      </c>
      <c r="D858" s="10" t="s">
        <v>280</v>
      </c>
    </row>
    <row r="859" spans="2:4" ht="15" x14ac:dyDescent="0.2">
      <c r="B859" s="31">
        <v>62935</v>
      </c>
      <c r="C859" s="6" t="s">
        <v>284</v>
      </c>
      <c r="D859" s="10" t="s">
        <v>282</v>
      </c>
    </row>
    <row r="860" spans="2:4" ht="15" x14ac:dyDescent="0.2">
      <c r="B860" s="31">
        <v>62945</v>
      </c>
      <c r="C860" s="6" t="s">
        <v>291</v>
      </c>
      <c r="D860" s="10" t="s">
        <v>283</v>
      </c>
    </row>
    <row r="861" spans="2:4" ht="15" x14ac:dyDescent="0.2">
      <c r="B861" s="31">
        <v>62984</v>
      </c>
      <c r="C861" s="6" t="s">
        <v>284</v>
      </c>
      <c r="D861" s="10" t="s">
        <v>285</v>
      </c>
    </row>
    <row r="862" spans="2:4" ht="15" x14ac:dyDescent="0.2">
      <c r="B862" s="31">
        <v>63074</v>
      </c>
      <c r="C862" s="6" t="s">
        <v>292</v>
      </c>
      <c r="D862" s="10" t="s">
        <v>286</v>
      </c>
    </row>
    <row r="863" spans="2:4" ht="15" x14ac:dyDescent="0.2">
      <c r="B863" s="31">
        <v>63109</v>
      </c>
      <c r="C863" s="6" t="s">
        <v>292</v>
      </c>
      <c r="D863" s="10" t="s">
        <v>287</v>
      </c>
    </row>
    <row r="864" spans="2:4" ht="15" x14ac:dyDescent="0.2">
      <c r="B864" s="31">
        <v>63130</v>
      </c>
      <c r="C864" s="6" t="s">
        <v>292</v>
      </c>
      <c r="D864" s="10" t="s">
        <v>288</v>
      </c>
    </row>
    <row r="865" spans="2:4" ht="15" x14ac:dyDescent="0.2">
      <c r="B865" s="31">
        <v>63143</v>
      </c>
      <c r="C865" s="6" t="s">
        <v>278</v>
      </c>
      <c r="D865" s="10" t="s">
        <v>289</v>
      </c>
    </row>
    <row r="866" spans="2:4" ht="15" x14ac:dyDescent="0.2">
      <c r="B866" s="31">
        <v>63183</v>
      </c>
      <c r="C866" s="6" t="s">
        <v>291</v>
      </c>
      <c r="D866" s="10" t="s">
        <v>290</v>
      </c>
    </row>
    <row r="867" spans="2:4" ht="15" x14ac:dyDescent="0.2">
      <c r="B867" s="31">
        <v>63190</v>
      </c>
      <c r="C867" s="6" t="s">
        <v>291</v>
      </c>
      <c r="D867" s="10" t="s">
        <v>276</v>
      </c>
    </row>
    <row r="868" spans="2:4" ht="15" x14ac:dyDescent="0.2">
      <c r="B868" s="31">
        <v>63226</v>
      </c>
      <c r="C868" s="6" t="s">
        <v>275</v>
      </c>
      <c r="D868" s="10" t="s">
        <v>277</v>
      </c>
    </row>
    <row r="869" spans="2:4" ht="15" x14ac:dyDescent="0.2">
      <c r="B869" s="31">
        <v>63227</v>
      </c>
      <c r="C869" s="6" t="s">
        <v>278</v>
      </c>
      <c r="D869" s="10" t="s">
        <v>277</v>
      </c>
    </row>
    <row r="870" spans="2:4" ht="15" x14ac:dyDescent="0.2">
      <c r="B870" s="31">
        <v>63272</v>
      </c>
      <c r="C870" s="6" t="s">
        <v>279</v>
      </c>
      <c r="D870" s="10" t="s">
        <v>280</v>
      </c>
    </row>
    <row r="871" spans="2:4" ht="15" x14ac:dyDescent="0.2">
      <c r="B871" s="31">
        <v>63300</v>
      </c>
      <c r="C871" s="6" t="s">
        <v>279</v>
      </c>
      <c r="D871" s="10" t="s">
        <v>282</v>
      </c>
    </row>
    <row r="872" spans="2:4" ht="15" x14ac:dyDescent="0.2">
      <c r="B872" s="31">
        <v>63310</v>
      </c>
      <c r="C872" s="6" t="s">
        <v>275</v>
      </c>
      <c r="D872" s="10" t="s">
        <v>283</v>
      </c>
    </row>
    <row r="873" spans="2:4" ht="15" x14ac:dyDescent="0.2">
      <c r="B873" s="31">
        <v>63334</v>
      </c>
      <c r="C873" s="6" t="s">
        <v>284</v>
      </c>
      <c r="D873" s="10" t="s">
        <v>285</v>
      </c>
    </row>
    <row r="874" spans="2:4" ht="15" x14ac:dyDescent="0.2">
      <c r="B874" s="31">
        <v>63439</v>
      </c>
      <c r="C874" s="6" t="s">
        <v>284</v>
      </c>
      <c r="D874" s="10" t="s">
        <v>286</v>
      </c>
    </row>
    <row r="875" spans="2:4" ht="15" x14ac:dyDescent="0.2">
      <c r="B875" s="31">
        <v>63474</v>
      </c>
      <c r="C875" s="6" t="s">
        <v>284</v>
      </c>
      <c r="D875" s="10" t="s">
        <v>287</v>
      </c>
    </row>
    <row r="876" spans="2:4" ht="15" x14ac:dyDescent="0.2">
      <c r="B876" s="31">
        <v>63495</v>
      </c>
      <c r="C876" s="6" t="s">
        <v>284</v>
      </c>
      <c r="D876" s="10" t="s">
        <v>288</v>
      </c>
    </row>
    <row r="877" spans="2:4" ht="15" x14ac:dyDescent="0.2">
      <c r="B877" s="31">
        <v>63508</v>
      </c>
      <c r="C877" s="6" t="s">
        <v>292</v>
      </c>
      <c r="D877" s="10" t="s">
        <v>289</v>
      </c>
    </row>
    <row r="878" spans="2:4" ht="15" x14ac:dyDescent="0.2">
      <c r="B878" s="31">
        <v>63548</v>
      </c>
      <c r="C878" s="6" t="s">
        <v>275</v>
      </c>
      <c r="D878" s="10" t="s">
        <v>290</v>
      </c>
    </row>
    <row r="879" spans="2:4" ht="15" x14ac:dyDescent="0.2">
      <c r="B879" s="31">
        <v>63555</v>
      </c>
      <c r="C879" s="6" t="s">
        <v>275</v>
      </c>
      <c r="D879" s="10" t="s">
        <v>276</v>
      </c>
    </row>
    <row r="880" spans="2:4" ht="15" x14ac:dyDescent="0.2">
      <c r="B880" s="31">
        <v>63611</v>
      </c>
      <c r="C880" s="6" t="s">
        <v>275</v>
      </c>
      <c r="D880" s="10" t="s">
        <v>277</v>
      </c>
    </row>
    <row r="881" spans="2:4" ht="15" x14ac:dyDescent="0.2">
      <c r="B881" s="31">
        <v>63612</v>
      </c>
      <c r="C881" s="6" t="s">
        <v>278</v>
      </c>
      <c r="D881" s="10" t="s">
        <v>277</v>
      </c>
    </row>
    <row r="882" spans="2:4" ht="15" x14ac:dyDescent="0.2">
      <c r="B882" s="31">
        <v>63657</v>
      </c>
      <c r="C882" s="6" t="s">
        <v>279</v>
      </c>
      <c r="D882" s="10" t="s">
        <v>280</v>
      </c>
    </row>
    <row r="883" spans="2:4" ht="15" x14ac:dyDescent="0.2">
      <c r="B883" s="31">
        <v>63665</v>
      </c>
      <c r="C883" s="6" t="s">
        <v>281</v>
      </c>
      <c r="D883" s="10" t="s">
        <v>282</v>
      </c>
    </row>
    <row r="884" spans="2:4" ht="15" x14ac:dyDescent="0.2">
      <c r="B884" s="31">
        <v>63675</v>
      </c>
      <c r="C884" s="6" t="s">
        <v>278</v>
      </c>
      <c r="D884" s="10" t="s">
        <v>283</v>
      </c>
    </row>
    <row r="885" spans="2:4" ht="15" x14ac:dyDescent="0.2">
      <c r="B885" s="31">
        <v>63719</v>
      </c>
      <c r="C885" s="6" t="s">
        <v>284</v>
      </c>
      <c r="D885" s="10" t="s">
        <v>285</v>
      </c>
    </row>
    <row r="886" spans="2:4" ht="15" x14ac:dyDescent="0.2">
      <c r="B886" s="31">
        <v>63804</v>
      </c>
      <c r="C886" s="6" t="s">
        <v>279</v>
      </c>
      <c r="D886" s="10" t="s">
        <v>286</v>
      </c>
    </row>
    <row r="887" spans="2:4" ht="15" x14ac:dyDescent="0.2">
      <c r="B887" s="31">
        <v>63839</v>
      </c>
      <c r="C887" s="6" t="s">
        <v>279</v>
      </c>
      <c r="D887" s="10" t="s">
        <v>287</v>
      </c>
    </row>
    <row r="888" spans="2:4" ht="15" x14ac:dyDescent="0.2">
      <c r="B888" s="31">
        <v>63860</v>
      </c>
      <c r="C888" s="6" t="s">
        <v>279</v>
      </c>
      <c r="D888" s="10" t="s">
        <v>288</v>
      </c>
    </row>
    <row r="889" spans="2:4" ht="15" x14ac:dyDescent="0.2">
      <c r="B889" s="31">
        <v>63873</v>
      </c>
      <c r="C889" s="6" t="s">
        <v>284</v>
      </c>
      <c r="D889" s="10" t="s">
        <v>289</v>
      </c>
    </row>
    <row r="890" spans="2:4" ht="15" x14ac:dyDescent="0.2">
      <c r="B890" s="31">
        <v>63913</v>
      </c>
      <c r="C890" s="6" t="s">
        <v>278</v>
      </c>
      <c r="D890" s="10" t="s">
        <v>290</v>
      </c>
    </row>
    <row r="891" spans="2:4" ht="15" x14ac:dyDescent="0.2">
      <c r="B891" s="31">
        <v>63920</v>
      </c>
      <c r="C891" s="6" t="s">
        <v>278</v>
      </c>
      <c r="D891" s="10" t="s">
        <v>276</v>
      </c>
    </row>
    <row r="892" spans="2:4" ht="15" x14ac:dyDescent="0.2">
      <c r="B892" s="31">
        <v>63968</v>
      </c>
      <c r="C892" s="6" t="s">
        <v>275</v>
      </c>
      <c r="D892" s="10" t="s">
        <v>277</v>
      </c>
    </row>
    <row r="893" spans="2:4" ht="15" x14ac:dyDescent="0.2">
      <c r="B893" s="31">
        <v>63969</v>
      </c>
      <c r="C893" s="6" t="s">
        <v>278</v>
      </c>
      <c r="D893" s="10" t="s">
        <v>277</v>
      </c>
    </row>
    <row r="894" spans="2:4" ht="15" x14ac:dyDescent="0.2">
      <c r="B894" s="31">
        <v>64014</v>
      </c>
      <c r="C894" s="6" t="s">
        <v>279</v>
      </c>
      <c r="D894" s="10" t="s">
        <v>280</v>
      </c>
    </row>
    <row r="895" spans="2:4" ht="15" x14ac:dyDescent="0.2">
      <c r="B895" s="31">
        <v>64030</v>
      </c>
      <c r="C895" s="6" t="s">
        <v>291</v>
      </c>
      <c r="D895" s="10" t="s">
        <v>282</v>
      </c>
    </row>
    <row r="896" spans="2:4" ht="15" x14ac:dyDescent="0.2">
      <c r="B896" s="31">
        <v>64040</v>
      </c>
      <c r="C896" s="6" t="s">
        <v>292</v>
      </c>
      <c r="D896" s="10" t="s">
        <v>283</v>
      </c>
    </row>
    <row r="897" spans="2:4" ht="15" x14ac:dyDescent="0.2">
      <c r="B897" s="31">
        <v>64076</v>
      </c>
      <c r="C897" s="6" t="s">
        <v>284</v>
      </c>
      <c r="D897" s="10" t="s">
        <v>285</v>
      </c>
    </row>
    <row r="898" spans="2:4" ht="15" x14ac:dyDescent="0.2">
      <c r="B898" s="31">
        <v>64169</v>
      </c>
      <c r="C898" s="6" t="s">
        <v>281</v>
      </c>
      <c r="D898" s="10" t="s">
        <v>286</v>
      </c>
    </row>
    <row r="899" spans="2:4" ht="15" x14ac:dyDescent="0.2">
      <c r="B899" s="31">
        <v>64204</v>
      </c>
      <c r="C899" s="6" t="s">
        <v>281</v>
      </c>
      <c r="D899" s="10" t="s">
        <v>287</v>
      </c>
    </row>
    <row r="900" spans="2:4" ht="15" x14ac:dyDescent="0.2">
      <c r="B900" s="31">
        <v>64225</v>
      </c>
      <c r="C900" s="6" t="s">
        <v>281</v>
      </c>
      <c r="D900" s="10" t="s">
        <v>288</v>
      </c>
    </row>
    <row r="901" spans="2:4" ht="15" x14ac:dyDescent="0.2">
      <c r="B901" s="31">
        <v>64238</v>
      </c>
      <c r="C901" s="6" t="s">
        <v>279</v>
      </c>
      <c r="D901" s="10" t="s">
        <v>289</v>
      </c>
    </row>
    <row r="902" spans="2:4" ht="15" x14ac:dyDescent="0.2">
      <c r="B902" s="31">
        <v>64278</v>
      </c>
      <c r="C902" s="6" t="s">
        <v>292</v>
      </c>
      <c r="D902" s="10" t="s">
        <v>290</v>
      </c>
    </row>
    <row r="903" spans="2:4" ht="15" x14ac:dyDescent="0.2">
      <c r="B903" s="31">
        <v>64285</v>
      </c>
      <c r="C903" s="6" t="s">
        <v>292</v>
      </c>
      <c r="D903" s="10" t="s">
        <v>276</v>
      </c>
    </row>
    <row r="904" spans="2:4" ht="15" x14ac:dyDescent="0.2">
      <c r="B904" s="31">
        <v>64346</v>
      </c>
      <c r="C904" s="6" t="s">
        <v>275</v>
      </c>
      <c r="D904" s="10" t="s">
        <v>277</v>
      </c>
    </row>
    <row r="905" spans="2:4" ht="15" x14ac:dyDescent="0.2">
      <c r="B905" s="31">
        <v>64347</v>
      </c>
      <c r="C905" s="6" t="s">
        <v>278</v>
      </c>
      <c r="D905" s="10" t="s">
        <v>277</v>
      </c>
    </row>
    <row r="906" spans="2:4" ht="15" x14ac:dyDescent="0.2">
      <c r="B906" s="31">
        <v>64392</v>
      </c>
      <c r="C906" s="6" t="s">
        <v>279</v>
      </c>
      <c r="D906" s="10" t="s">
        <v>280</v>
      </c>
    </row>
    <row r="907" spans="2:4" ht="15" x14ac:dyDescent="0.2">
      <c r="B907" s="31">
        <v>64396</v>
      </c>
      <c r="C907" s="6" t="s">
        <v>278</v>
      </c>
      <c r="D907" s="10" t="s">
        <v>282</v>
      </c>
    </row>
    <row r="908" spans="2:4" ht="15" x14ac:dyDescent="0.2">
      <c r="B908" s="31">
        <v>64406</v>
      </c>
      <c r="C908" s="6" t="s">
        <v>279</v>
      </c>
      <c r="D908" s="10" t="s">
        <v>283</v>
      </c>
    </row>
    <row r="909" spans="2:4" ht="15" x14ac:dyDescent="0.2">
      <c r="B909" s="31">
        <v>64454</v>
      </c>
      <c r="C909" s="6" t="s">
        <v>284</v>
      </c>
      <c r="D909" s="10" t="s">
        <v>285</v>
      </c>
    </row>
    <row r="910" spans="2:4" ht="15" x14ac:dyDescent="0.2">
      <c r="B910" s="31">
        <v>64535</v>
      </c>
      <c r="C910" s="6" t="s">
        <v>275</v>
      </c>
      <c r="D910" s="10" t="s">
        <v>286</v>
      </c>
    </row>
    <row r="911" spans="2:4" ht="15" x14ac:dyDescent="0.2">
      <c r="B911" s="31">
        <v>64570</v>
      </c>
      <c r="C911" s="6" t="s">
        <v>275</v>
      </c>
      <c r="D911" s="10" t="s">
        <v>287</v>
      </c>
    </row>
    <row r="912" spans="2:4" ht="15" x14ac:dyDescent="0.2">
      <c r="B912" s="31">
        <v>64591</v>
      </c>
      <c r="C912" s="6" t="s">
        <v>275</v>
      </c>
      <c r="D912" s="10" t="s">
        <v>288</v>
      </c>
    </row>
    <row r="913" spans="2:4" ht="15" x14ac:dyDescent="0.2">
      <c r="B913" s="31">
        <v>64604</v>
      </c>
      <c r="C913" s="6" t="s">
        <v>291</v>
      </c>
      <c r="D913" s="10" t="s">
        <v>289</v>
      </c>
    </row>
    <row r="914" spans="2:4" ht="15" x14ac:dyDescent="0.2">
      <c r="B914" s="31">
        <v>64644</v>
      </c>
      <c r="C914" s="6" t="s">
        <v>279</v>
      </c>
      <c r="D914" s="10" t="s">
        <v>290</v>
      </c>
    </row>
    <row r="915" spans="2:4" ht="15" x14ac:dyDescent="0.2">
      <c r="B915" s="31">
        <v>64651</v>
      </c>
      <c r="C915" s="6" t="s">
        <v>279</v>
      </c>
      <c r="D915" s="10" t="s">
        <v>276</v>
      </c>
    </row>
    <row r="916" spans="2:4" ht="15" x14ac:dyDescent="0.2">
      <c r="B916" s="31">
        <v>64703</v>
      </c>
      <c r="C916" s="6" t="s">
        <v>275</v>
      </c>
      <c r="D916" s="10" t="s">
        <v>277</v>
      </c>
    </row>
    <row r="917" spans="2:4" ht="15" x14ac:dyDescent="0.2">
      <c r="B917" s="31">
        <v>64704</v>
      </c>
      <c r="C917" s="6" t="s">
        <v>278</v>
      </c>
      <c r="D917" s="10" t="s">
        <v>277</v>
      </c>
    </row>
    <row r="918" spans="2:4" ht="15" x14ac:dyDescent="0.2">
      <c r="B918" s="31">
        <v>64749</v>
      </c>
      <c r="C918" s="6" t="s">
        <v>279</v>
      </c>
      <c r="D918" s="10" t="s">
        <v>280</v>
      </c>
    </row>
    <row r="919" spans="2:4" ht="15" x14ac:dyDescent="0.2">
      <c r="B919" s="31">
        <v>64761</v>
      </c>
      <c r="C919" s="6" t="s">
        <v>292</v>
      </c>
      <c r="D919" s="10" t="s">
        <v>282</v>
      </c>
    </row>
    <row r="920" spans="2:4" ht="15" x14ac:dyDescent="0.2">
      <c r="B920" s="31">
        <v>64771</v>
      </c>
      <c r="C920" s="6" t="s">
        <v>281</v>
      </c>
      <c r="D920" s="10" t="s">
        <v>283</v>
      </c>
    </row>
    <row r="921" spans="2:4" ht="15" x14ac:dyDescent="0.2">
      <c r="B921" s="31">
        <v>64811</v>
      </c>
      <c r="C921" s="6" t="s">
        <v>284</v>
      </c>
      <c r="D921" s="10" t="s">
        <v>285</v>
      </c>
    </row>
    <row r="922" spans="2:4" ht="15" x14ac:dyDescent="0.2">
      <c r="B922" s="31">
        <v>64900</v>
      </c>
      <c r="C922" s="6" t="s">
        <v>278</v>
      </c>
      <c r="D922" s="10" t="s">
        <v>286</v>
      </c>
    </row>
    <row r="923" spans="2:4" ht="15" x14ac:dyDescent="0.2">
      <c r="B923" s="31">
        <v>64935</v>
      </c>
      <c r="C923" s="6" t="s">
        <v>278</v>
      </c>
      <c r="D923" s="10" t="s">
        <v>287</v>
      </c>
    </row>
    <row r="924" spans="2:4" ht="15" x14ac:dyDescent="0.2">
      <c r="B924" s="31">
        <v>64956</v>
      </c>
      <c r="C924" s="6" t="s">
        <v>278</v>
      </c>
      <c r="D924" s="10" t="s">
        <v>288</v>
      </c>
    </row>
    <row r="925" spans="2:4" ht="15" x14ac:dyDescent="0.2">
      <c r="B925" s="31">
        <v>64969</v>
      </c>
      <c r="C925" s="6" t="s">
        <v>275</v>
      </c>
      <c r="D925" s="10" t="s">
        <v>289</v>
      </c>
    </row>
    <row r="926" spans="2:4" ht="15" x14ac:dyDescent="0.2">
      <c r="B926" s="31">
        <v>65009</v>
      </c>
      <c r="C926" s="6" t="s">
        <v>281</v>
      </c>
      <c r="D926" s="10" t="s">
        <v>290</v>
      </c>
    </row>
    <row r="927" spans="2:4" ht="15" x14ac:dyDescent="0.2">
      <c r="B927" s="31">
        <v>65016</v>
      </c>
      <c r="C927" s="6" t="s">
        <v>278</v>
      </c>
      <c r="D927" s="10" t="s">
        <v>276</v>
      </c>
    </row>
    <row r="928" spans="2:4" ht="15" x14ac:dyDescent="0.2">
      <c r="B928" s="31">
        <v>65060</v>
      </c>
      <c r="C928" s="6" t="s">
        <v>275</v>
      </c>
      <c r="D928" s="10" t="s">
        <v>277</v>
      </c>
    </row>
    <row r="929" spans="2:4" ht="15" x14ac:dyDescent="0.2">
      <c r="B929" s="31">
        <v>65061</v>
      </c>
      <c r="C929" s="6" t="s">
        <v>278</v>
      </c>
      <c r="D929" s="10" t="s">
        <v>277</v>
      </c>
    </row>
    <row r="930" spans="2:4" ht="15" x14ac:dyDescent="0.2">
      <c r="B930" s="31">
        <v>65106</v>
      </c>
      <c r="C930" s="6" t="s">
        <v>279</v>
      </c>
      <c r="D930" s="10" t="s">
        <v>280</v>
      </c>
    </row>
    <row r="931" spans="2:4" ht="15" x14ac:dyDescent="0.2">
      <c r="B931" s="31">
        <v>65126</v>
      </c>
      <c r="C931" s="6" t="s">
        <v>284</v>
      </c>
      <c r="D931" s="10" t="s">
        <v>282</v>
      </c>
    </row>
    <row r="932" spans="2:4" ht="15" x14ac:dyDescent="0.2">
      <c r="B932" s="31">
        <v>65136</v>
      </c>
      <c r="C932" s="6" t="s">
        <v>292</v>
      </c>
      <c r="D932" s="10" t="s">
        <v>283</v>
      </c>
    </row>
    <row r="933" spans="2:4" ht="15" x14ac:dyDescent="0.2">
      <c r="B933" s="31">
        <v>65168</v>
      </c>
      <c r="C933" s="6" t="s">
        <v>284</v>
      </c>
      <c r="D933" s="10" t="s">
        <v>285</v>
      </c>
    </row>
    <row r="934" spans="2:4" ht="15" x14ac:dyDescent="0.2">
      <c r="B934" s="31">
        <v>65265</v>
      </c>
      <c r="C934" s="6" t="s">
        <v>292</v>
      </c>
      <c r="D934" s="10" t="s">
        <v>286</v>
      </c>
    </row>
    <row r="935" spans="2:4" ht="15" x14ac:dyDescent="0.2">
      <c r="B935" s="31">
        <v>65300</v>
      </c>
      <c r="C935" s="6" t="s">
        <v>292</v>
      </c>
      <c r="D935" s="10" t="s">
        <v>287</v>
      </c>
    </row>
    <row r="936" spans="2:4" ht="15" x14ac:dyDescent="0.2">
      <c r="B936" s="31">
        <v>65321</v>
      </c>
      <c r="C936" s="6" t="s">
        <v>292</v>
      </c>
      <c r="D936" s="10" t="s">
        <v>288</v>
      </c>
    </row>
    <row r="937" spans="2:4" ht="15" x14ac:dyDescent="0.2">
      <c r="B937" s="31">
        <v>65334</v>
      </c>
      <c r="C937" s="6" t="s">
        <v>278</v>
      </c>
      <c r="D937" s="10" t="s">
        <v>289</v>
      </c>
    </row>
    <row r="938" spans="2:4" ht="15" x14ac:dyDescent="0.2">
      <c r="B938" s="32">
        <v>65374</v>
      </c>
      <c r="C938" s="11" t="s">
        <v>292</v>
      </c>
      <c r="D938" s="12" t="s">
        <v>290</v>
      </c>
    </row>
    <row r="939" spans="2:4" ht="15" x14ac:dyDescent="0.2">
      <c r="B939" s="6" t="s">
        <v>293</v>
      </c>
    </row>
    <row r="941" spans="2:4" x14ac:dyDescent="0.2">
      <c r="B941" s="30"/>
    </row>
    <row r="943" spans="2:4" x14ac:dyDescent="0.2">
      <c r="B943" s="30"/>
    </row>
    <row r="945" spans="2:2" x14ac:dyDescent="0.2">
      <c r="B945" s="30"/>
    </row>
    <row r="947" spans="2:2" x14ac:dyDescent="0.2">
      <c r="B947" s="30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379BDA123B38C4BB2BDADD0AADF18C6" ma:contentTypeVersion="5" ma:contentTypeDescription="Crie um novo documento." ma:contentTypeScope="" ma:versionID="851bebbef8d230561115ce7c720d5361">
  <xsd:schema xmlns:xsd="http://www.w3.org/2001/XMLSchema" xmlns:xs="http://www.w3.org/2001/XMLSchema" xmlns:p="http://schemas.microsoft.com/office/2006/metadata/properties" xmlns:ns3="28a3bd91-1acd-4a65-ac1a-3983e5411ea1" xmlns:ns4="f7574458-0326-4dce-9980-918b7c61b0b7" targetNamespace="http://schemas.microsoft.com/office/2006/metadata/properties" ma:root="true" ma:fieldsID="2b26a2e446a30a586b1ca0a69f58973d" ns3:_="" ns4:_="">
    <xsd:import namespace="28a3bd91-1acd-4a65-ac1a-3983e5411ea1"/>
    <xsd:import namespace="f7574458-0326-4dce-9980-918b7c61b0b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a3bd91-1acd-4a65-ac1a-3983e5411e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574458-0326-4dce-9980-918b7c61b0b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0895DEC-482F-433F-ABF6-7A470EC32F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9587E9C-5B42-49A5-B9B8-6630FD68D2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a3bd91-1acd-4a65-ac1a-3983e5411ea1"/>
    <ds:schemaRef ds:uri="f7574458-0326-4dce-9980-918b7c61b0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62EA5E-F9A8-472E-8B99-BD2DA057F927}">
  <ds:schemaRefs>
    <ds:schemaRef ds:uri="http://schemas.microsoft.com/office/2006/metadata/properties"/>
    <ds:schemaRef ds:uri="28a3bd91-1acd-4a65-ac1a-3983e5411ea1"/>
    <ds:schemaRef ds:uri="http://schemas.microsoft.com/office/infopath/2007/PartnerControls"/>
    <ds:schemaRef ds:uri="http://purl.org/dc/terms/"/>
    <ds:schemaRef ds:uri="f7574458-0326-4dce-9980-918b7c61b0b7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1. Dados do Projeto</vt:lpstr>
      <vt:lpstr>2. Precificação</vt:lpstr>
      <vt:lpstr>3. Custo por Categoria</vt:lpstr>
      <vt:lpstr>4. Feriados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Esthevão Marttioly Lopes Martins</dc:creator>
  <cp:lastModifiedBy>Esthevão Marttioly Lopes Martins</cp:lastModifiedBy>
  <dcterms:created xsi:type="dcterms:W3CDTF">2022-04-26T14:42:07Z</dcterms:created>
  <dcterms:modified xsi:type="dcterms:W3CDTF">2022-06-11T03:35:41Z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0x010100E379BDA123B38C4BB2BDADD0AADF18C6</vt:lpwstr>
  </property>
</Properties>
</file>